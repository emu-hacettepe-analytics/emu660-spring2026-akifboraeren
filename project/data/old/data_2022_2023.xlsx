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ming\R Projects\emu660-spring2026-emu660-spring2026-emu660-quarto-template\project\data\"/>
    </mc:Choice>
  </mc:AlternateContent>
  <xr:revisionPtr revIDLastSave="0" documentId="13_ncr:1_{51E7333F-C937-467E-A085-5A24219BCB14}" xr6:coauthVersionLast="47" xr6:coauthVersionMax="47" xr10:uidLastSave="{00000000-0000-0000-0000-000000000000}"/>
  <bookViews>
    <workbookView xWindow="-1848" yWindow="1728" windowWidth="17280" windowHeight="8880" tabRatio="587" xr2:uid="{00000000-000D-0000-FFFF-FFFF00000000}"/>
  </bookViews>
  <sheets>
    <sheet name="TÜM UÇAK" sheetId="1" r:id="rId1"/>
    <sheet name="YOLCU" sheetId="2" r:id="rId2"/>
    <sheet name="TİCARİ UÇAK" sheetId="3" r:id="rId3"/>
    <sheet name="YÜK" sheetId="4" r:id="rId4"/>
    <sheet name="KARGO" sheetId="5" r:id="rId5"/>
  </sheets>
  <definedNames>
    <definedName name="_xlnm.Print_Area" localSheetId="4">KARGO!$A$1:$J$66</definedName>
    <definedName name="_xlnm.Print_Area" localSheetId="2">'TİCARİ UÇAK'!$A$1:$J$67</definedName>
    <definedName name="_xlnm.Print_Area" localSheetId="0">'TÜM UÇAK'!$A$1:$J$68</definedName>
    <definedName name="_xlnm.Print_Area" localSheetId="1">YOLCU!$A$1:$J$68</definedName>
    <definedName name="_xlnm.Print_Area" localSheetId="3">YÜK!$A$1:$J$65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5" i="5"/>
  <c r="G4" i="5"/>
  <c r="D6" i="5" l="1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1" i="5"/>
  <c r="D23" i="5"/>
  <c r="D24" i="5"/>
  <c r="D25" i="5"/>
  <c r="D26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8" i="5"/>
  <c r="D59" i="5"/>
  <c r="D60" i="5"/>
  <c r="D5" i="5"/>
  <c r="D4" i="5"/>
</calcChain>
</file>

<file path=xl/sharedStrings.xml><?xml version="1.0" encoding="utf-8"?>
<sst xmlns="http://schemas.openxmlformats.org/spreadsheetml/2006/main" count="335" uniqueCount="68">
  <si>
    <t xml:space="preserve">   TÜM UÇAK TRAFİĞİ</t>
  </si>
  <si>
    <t xml:space="preserve">Havalimanları </t>
  </si>
  <si>
    <t>İç Hat</t>
  </si>
  <si>
    <t>Dış Hat</t>
  </si>
  <si>
    <t>Toplam</t>
  </si>
  <si>
    <t>İstanbul Atatürk</t>
  </si>
  <si>
    <t>Ankara Esenboğa</t>
  </si>
  <si>
    <t>İzmir Adnan Menderes</t>
  </si>
  <si>
    <t>Antalya</t>
  </si>
  <si>
    <t>Muğla Dalaman</t>
  </si>
  <si>
    <t>Muğla Milas-Bodrum</t>
  </si>
  <si>
    <t>Adana</t>
  </si>
  <si>
    <t>Trabzon</t>
  </si>
  <si>
    <t>Erzurum</t>
  </si>
  <si>
    <t>Gaziantep</t>
  </si>
  <si>
    <t>Adıyaman</t>
  </si>
  <si>
    <t>Ağrı Ahmed-i Hani</t>
  </si>
  <si>
    <t>Amasya Merzifon</t>
  </si>
  <si>
    <t>Balıkesir Koca Seyit</t>
  </si>
  <si>
    <t>Balıkesir Merkez</t>
  </si>
  <si>
    <t>Batman</t>
  </si>
  <si>
    <t>Bingöl</t>
  </si>
  <si>
    <t>Bursa Yenişehir</t>
  </si>
  <si>
    <t>Çanakkale</t>
  </si>
  <si>
    <t>Çanakkale Gökçeada</t>
  </si>
  <si>
    <t>Denizli Çardak</t>
  </si>
  <si>
    <t>Diyarbakır</t>
  </si>
  <si>
    <t>Elazığ</t>
  </si>
  <si>
    <t>Hatay</t>
  </si>
  <si>
    <t>Isparta Süleyman Demirel</t>
  </si>
  <si>
    <t>Kahramanmaraş</t>
  </si>
  <si>
    <t>Kars Harakani</t>
  </si>
  <si>
    <t>Kastamonu</t>
  </si>
  <si>
    <t>Kayseri</t>
  </si>
  <si>
    <t>Kocaeli Cengiz Topel</t>
  </si>
  <si>
    <t>Konya</t>
  </si>
  <si>
    <t>Malatya</t>
  </si>
  <si>
    <t>Kapadokya</t>
  </si>
  <si>
    <t>Ordu-Giresun</t>
  </si>
  <si>
    <t>Samsun Çarşamba</t>
  </si>
  <si>
    <t>Siirt</t>
  </si>
  <si>
    <t>Sinop</t>
  </si>
  <si>
    <t>Sivas Nuri Demirağ</t>
  </si>
  <si>
    <t>Şırnak Şerafettin Elçi</t>
  </si>
  <si>
    <t>Tokat</t>
  </si>
  <si>
    <t>Uşak</t>
  </si>
  <si>
    <t>Van Ferit Melen</t>
  </si>
  <si>
    <t>YOLCU TRAFİĞİ (Gelen-Giden)</t>
  </si>
  <si>
    <t xml:space="preserve">   TİCARİ  UÇAK TRAFİĞİ</t>
  </si>
  <si>
    <t>YÜK TRAFİĞİ ( Bagaj+Kargo+Posta) (TON)</t>
  </si>
  <si>
    <t>Iğdır Şehit Bülent Aydın</t>
  </si>
  <si>
    <t>Hakkari Yüksekova Selahaddin Eyyubi</t>
  </si>
  <si>
    <t>Tekirdağ Çorlu Atatürk</t>
  </si>
  <si>
    <t>Erzincan Yıldırım Akbulut</t>
  </si>
  <si>
    <t>Mardin Prof. Dr. Aziz Sancar</t>
  </si>
  <si>
    <t>Muş Sultan Alparslan</t>
  </si>
  <si>
    <t>Rize-Artvin</t>
  </si>
  <si>
    <t>Şanlıurfa Gap</t>
  </si>
  <si>
    <t>İstanbul (*)</t>
  </si>
  <si>
    <t>İstanbul Sabiha Gökçen (*)</t>
  </si>
  <si>
    <t>Gazipaşa Alanya (*)</t>
  </si>
  <si>
    <t>Aydın Çıldır (*)</t>
  </si>
  <si>
    <t>Eskişehir Hasan Polatkan (*)</t>
  </si>
  <si>
    <t>Zafer (*)</t>
  </si>
  <si>
    <t>Zonguldak Çaycuma (*)</t>
  </si>
  <si>
    <t>KARGO TRAFİĞİ (TON)</t>
  </si>
  <si>
    <t xml:space="preserve">2022 ARALIK SONU
</t>
  </si>
  <si>
    <t xml:space="preserve">2023 ARALIK SONU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</si>
</sst>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.00\ _T_L_-;\-* #,##0.00\ _T_L_-;_-* &quot;-&quot;??\ _T_L_-;_-@_-"/>
    <numFmt numFmtId="165" formatCode="_-* #,##0\ _T_L_-;\-* #,##0\ _T_L_-;_-* &quot;-&quot;??\ _T_L_-;_-@_-"/>
    <numFmt numFmtId="166" formatCode="#,##0.0"/>
    <numFmt numFmtId="167" formatCode="#,##0_ ;\-#,##0\ "/>
    <numFmt numFmtId="168" formatCode="0.0"/>
    <numFmt numFmtId="169" formatCode="_-* #,##0_-;\-* #,##0_-;_-* &quot;-&quot;??_-;_-@_-"/>
    <numFmt numFmtId="170" formatCode="_-* #,##0.0_-;\-* #,##0.0_-;_-* &quot;-&quot;??_-;_-@_-"/>
  </numFmts>
  <fonts count="13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1"/>
      <name val="Tahoma"/>
      <family val="2"/>
      <charset val="162"/>
    </font>
    <font>
      <b/>
      <sz val="11"/>
      <color indexed="9"/>
      <name val="Tahoma"/>
      <family val="2"/>
      <charset val="162"/>
    </font>
    <font>
      <b/>
      <sz val="10"/>
      <color indexed="9"/>
      <name val="Tahoma"/>
      <family val="2"/>
      <charset val="162"/>
    </font>
    <font>
      <sz val="10"/>
      <name val="Arial Tur"/>
      <charset val="162"/>
    </font>
    <font>
      <b/>
      <sz val="8"/>
      <color indexed="8"/>
      <name val="Tahoma"/>
      <family val="2"/>
      <charset val="162"/>
    </font>
    <font>
      <b/>
      <sz val="9.5"/>
      <color indexed="8"/>
      <name val="Tahoma"/>
      <family val="2"/>
      <charset val="162"/>
    </font>
    <font>
      <b/>
      <sz val="9.5"/>
      <color indexed="10"/>
      <name val="Tahoma"/>
      <family val="2"/>
      <charset val="162"/>
    </font>
    <font>
      <b/>
      <sz val="10"/>
      <color theme="0"/>
      <name val="Tahoma"/>
      <family val="2"/>
      <charset val="162"/>
    </font>
    <font>
      <b/>
      <sz val="9.5"/>
      <color indexed="9"/>
      <name val="Tahoma"/>
      <family val="2"/>
      <charset val="162"/>
    </font>
    <font>
      <b/>
      <sz val="9.5"/>
      <color theme="0"/>
      <name val="Tahoma"/>
      <family val="2"/>
      <charset val="162"/>
    </font>
    <font>
      <sz val="11"/>
      <color theme="1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31"/>
      </patternFill>
    </fill>
    <fill>
      <patternFill patternType="solid">
        <fgColor theme="6" tint="-0.499984740745262"/>
        <bgColor indexed="31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9"/>
      </patternFill>
    </fill>
    <fill>
      <patternFill patternType="solid">
        <fgColor theme="3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12" fillId="0" borderId="0" applyFont="0" applyFill="0" applyBorder="0" applyAlignment="0" applyProtection="0"/>
    <xf numFmtId="0" fontId="12" fillId="0" borderId="0"/>
  </cellStyleXfs>
  <cellXfs count="78">
    <xf numFmtId="0" fontId="0" fillId="0" borderId="0" xfId="0"/>
    <xf numFmtId="2" fontId="4" fillId="5" borderId="7" xfId="1" applyNumberFormat="1" applyFont="1" applyFill="1" applyBorder="1" applyAlignment="1">
      <alignment horizontal="right" vertical="center"/>
    </xf>
    <xf numFmtId="2" fontId="4" fillId="5" borderId="8" xfId="1" applyNumberFormat="1" applyFont="1" applyFill="1" applyBorder="1" applyAlignment="1">
      <alignment horizontal="right" vertical="center"/>
    </xf>
    <xf numFmtId="3" fontId="7" fillId="6" borderId="0" xfId="3" applyNumberFormat="1" applyFont="1" applyFill="1" applyBorder="1" applyAlignment="1">
      <alignment horizontal="right" vertical="center"/>
    </xf>
    <xf numFmtId="3" fontId="8" fillId="6" borderId="0" xfId="3" applyNumberFormat="1" applyFont="1" applyFill="1" applyBorder="1" applyAlignment="1">
      <alignment horizontal="right" vertical="center"/>
    </xf>
    <xf numFmtId="3" fontId="8" fillId="6" borderId="5" xfId="3" applyNumberFormat="1" applyFont="1" applyFill="1" applyBorder="1" applyAlignment="1">
      <alignment horizontal="right" vertical="center"/>
    </xf>
    <xf numFmtId="165" fontId="6" fillId="4" borderId="4" xfId="3" applyNumberFormat="1" applyFont="1" applyFill="1" applyBorder="1" applyAlignment="1">
      <alignment horizontal="left"/>
    </xf>
    <xf numFmtId="3" fontId="7" fillId="4" borderId="0" xfId="3" applyNumberFormat="1" applyFont="1" applyFill="1" applyBorder="1" applyAlignment="1">
      <alignment horizontal="right" vertical="center"/>
    </xf>
    <xf numFmtId="3" fontId="8" fillId="4" borderId="0" xfId="3" applyNumberFormat="1" applyFont="1" applyFill="1" applyBorder="1" applyAlignment="1">
      <alignment horizontal="right" vertical="center"/>
    </xf>
    <xf numFmtId="3" fontId="8" fillId="4" borderId="5" xfId="3" applyNumberFormat="1" applyFont="1" applyFill="1" applyBorder="1" applyAlignment="1">
      <alignment horizontal="right" vertical="center"/>
    </xf>
    <xf numFmtId="165" fontId="6" fillId="7" borderId="4" xfId="3" applyNumberFormat="1" applyFont="1" applyFill="1" applyBorder="1" applyAlignment="1">
      <alignment horizontal="left"/>
    </xf>
    <xf numFmtId="0" fontId="9" fillId="8" borderId="4" xfId="3" applyNumberFormat="1" applyFont="1" applyFill="1" applyBorder="1" applyAlignment="1">
      <alignment horizontal="left" vertical="center"/>
    </xf>
    <xf numFmtId="3" fontId="10" fillId="9" borderId="0" xfId="3" applyNumberFormat="1" applyFont="1" applyFill="1" applyBorder="1" applyAlignment="1">
      <alignment horizontal="right" vertical="center"/>
    </xf>
    <xf numFmtId="166" fontId="10" fillId="9" borderId="0" xfId="4" applyNumberFormat="1" applyFont="1" applyFill="1" applyBorder="1" applyAlignment="1">
      <alignment horizontal="right" vertical="center"/>
    </xf>
    <xf numFmtId="0" fontId="4" fillId="10" borderId="4" xfId="3" applyNumberFormat="1" applyFont="1" applyFill="1" applyBorder="1" applyAlignment="1">
      <alignment horizontal="left" vertical="center"/>
    </xf>
    <xf numFmtId="3" fontId="10" fillId="5" borderId="0" xfId="3" applyNumberFormat="1" applyFont="1" applyFill="1" applyBorder="1" applyAlignment="1">
      <alignment horizontal="right" vertical="center"/>
    </xf>
    <xf numFmtId="166" fontId="10" fillId="5" borderId="0" xfId="4" applyNumberFormat="1" applyFont="1" applyFill="1" applyBorder="1" applyAlignment="1">
      <alignment horizontal="right" vertical="center"/>
    </xf>
    <xf numFmtId="166" fontId="10" fillId="5" borderId="5" xfId="4" applyNumberFormat="1" applyFont="1" applyFill="1" applyBorder="1" applyAlignment="1">
      <alignment horizontal="right" vertical="center"/>
    </xf>
    <xf numFmtId="0" fontId="4" fillId="11" borderId="9" xfId="1" applyNumberFormat="1" applyFont="1" applyFill="1" applyBorder="1" applyAlignment="1">
      <alignment horizontal="left" vertical="center"/>
    </xf>
    <xf numFmtId="167" fontId="10" fillId="11" borderId="0" xfId="2" applyNumberFormat="1" applyFont="1" applyFill="1" applyBorder="1" applyAlignment="1">
      <alignment vertical="center"/>
    </xf>
    <xf numFmtId="0" fontId="4" fillId="10" borderId="9" xfId="5" applyFont="1" applyFill="1" applyBorder="1" applyAlignment="1">
      <alignment horizontal="left" vertical="center"/>
    </xf>
    <xf numFmtId="3" fontId="10" fillId="5" borderId="12" xfId="5" applyNumberFormat="1" applyFont="1" applyFill="1" applyBorder="1"/>
    <xf numFmtId="3" fontId="4" fillId="9" borderId="0" xfId="3" applyNumberFormat="1" applyFont="1" applyFill="1" applyBorder="1" applyAlignment="1">
      <alignment horizontal="right" vertical="center"/>
    </xf>
    <xf numFmtId="166" fontId="4" fillId="9" borderId="0" xfId="4" applyNumberFormat="1" applyFont="1" applyFill="1" applyBorder="1" applyAlignment="1">
      <alignment horizontal="right" vertical="center"/>
    </xf>
    <xf numFmtId="3" fontId="4" fillId="5" borderId="0" xfId="3" applyNumberFormat="1" applyFont="1" applyFill="1" applyBorder="1" applyAlignment="1">
      <alignment horizontal="right" vertical="center"/>
    </xf>
    <xf numFmtId="166" fontId="4" fillId="5" borderId="0" xfId="4" applyNumberFormat="1" applyFont="1" applyFill="1" applyBorder="1" applyAlignment="1">
      <alignment horizontal="right" vertical="center"/>
    </xf>
    <xf numFmtId="165" fontId="10" fillId="4" borderId="4" xfId="2" applyNumberFormat="1" applyFont="1" applyFill="1" applyBorder="1" applyAlignment="1">
      <alignment vertical="center"/>
    </xf>
    <xf numFmtId="165" fontId="10" fillId="4" borderId="0" xfId="2" applyNumberFormat="1" applyFont="1" applyFill="1" applyBorder="1" applyAlignment="1">
      <alignment vertical="center"/>
    </xf>
    <xf numFmtId="165" fontId="10" fillId="4" borderId="5" xfId="2" applyNumberFormat="1" applyFont="1" applyFill="1" applyBorder="1" applyAlignment="1">
      <alignment vertical="center"/>
    </xf>
    <xf numFmtId="165" fontId="10" fillId="4" borderId="9" xfId="2" applyNumberFormat="1" applyFont="1" applyFill="1" applyBorder="1" applyAlignment="1">
      <alignment vertical="center"/>
    </xf>
    <xf numFmtId="165" fontId="10" fillId="4" borderId="10" xfId="2" applyNumberFormat="1" applyFont="1" applyFill="1" applyBorder="1" applyAlignment="1">
      <alignment vertical="center"/>
    </xf>
    <xf numFmtId="165" fontId="10" fillId="4" borderId="11" xfId="2" applyNumberFormat="1" applyFont="1" applyFill="1" applyBorder="1" applyAlignment="1">
      <alignment vertical="center"/>
    </xf>
    <xf numFmtId="3" fontId="11" fillId="9" borderId="0" xfId="3" applyNumberFormat="1" applyFont="1" applyFill="1" applyBorder="1" applyAlignment="1">
      <alignment horizontal="right" vertical="center"/>
    </xf>
    <xf numFmtId="3" fontId="10" fillId="5" borderId="12" xfId="5" applyNumberFormat="1" applyFont="1" applyFill="1" applyBorder="1" applyAlignment="1">
      <alignment horizontal="right"/>
    </xf>
    <xf numFmtId="3" fontId="10" fillId="5" borderId="2" xfId="3" applyNumberFormat="1" applyFont="1" applyFill="1" applyBorder="1" applyAlignment="1">
      <alignment horizontal="right" vertical="center"/>
    </xf>
    <xf numFmtId="166" fontId="10" fillId="9" borderId="5" xfId="4" applyNumberFormat="1" applyFont="1" applyFill="1" applyBorder="1" applyAlignment="1">
      <alignment horizontal="right" vertical="center"/>
    </xf>
    <xf numFmtId="0" fontId="0" fillId="0" borderId="4" xfId="0" applyBorder="1"/>
    <xf numFmtId="1" fontId="0" fillId="0" borderId="0" xfId="0" applyNumberFormat="1"/>
    <xf numFmtId="168" fontId="0" fillId="0" borderId="0" xfId="0" applyNumberFormat="1"/>
    <xf numFmtId="0" fontId="0" fillId="0" borderId="0" xfId="0" applyAlignment="1">
      <alignment vertical="center"/>
    </xf>
    <xf numFmtId="166" fontId="8" fillId="6" borderId="0" xfId="3" applyNumberFormat="1" applyFont="1" applyFill="1" applyBorder="1" applyAlignment="1">
      <alignment horizontal="right" vertical="center"/>
    </xf>
    <xf numFmtId="166" fontId="8" fillId="4" borderId="0" xfId="3" applyNumberFormat="1" applyFont="1" applyFill="1" applyBorder="1" applyAlignment="1">
      <alignment horizontal="right" vertical="center"/>
    </xf>
    <xf numFmtId="166" fontId="7" fillId="4" borderId="0" xfId="3" applyNumberFormat="1" applyFont="1" applyFill="1" applyBorder="1" applyAlignment="1">
      <alignment horizontal="right" vertical="center"/>
    </xf>
    <xf numFmtId="169" fontId="0" fillId="0" borderId="0" xfId="6" applyNumberFormat="1" applyFont="1"/>
    <xf numFmtId="0" fontId="12" fillId="0" borderId="0" xfId="7"/>
    <xf numFmtId="1" fontId="12" fillId="0" borderId="0" xfId="7" applyNumberFormat="1"/>
    <xf numFmtId="0" fontId="12" fillId="0" borderId="0" xfId="7" applyAlignment="1">
      <alignment vertical="center"/>
    </xf>
    <xf numFmtId="169" fontId="7" fillId="6" borderId="0" xfId="6" applyNumberFormat="1" applyFont="1" applyFill="1" applyBorder="1" applyAlignment="1">
      <alignment horizontal="right" vertical="center"/>
    </xf>
    <xf numFmtId="169" fontId="7" fillId="4" borderId="0" xfId="6" applyNumberFormat="1" applyFont="1" applyFill="1" applyBorder="1" applyAlignment="1">
      <alignment horizontal="right" vertical="center"/>
    </xf>
    <xf numFmtId="169" fontId="7" fillId="6" borderId="0" xfId="6" applyNumberFormat="1" applyFont="1" applyFill="1" applyBorder="1" applyAlignment="1">
      <alignment horizontal="center" vertical="center"/>
    </xf>
    <xf numFmtId="3" fontId="7" fillId="4" borderId="0" xfId="3" applyNumberFormat="1" applyFont="1" applyFill="1" applyBorder="1" applyAlignment="1">
      <alignment horizontal="center" vertical="center"/>
    </xf>
    <xf numFmtId="170" fontId="7" fillId="6" borderId="0" xfId="6" applyNumberFormat="1" applyFont="1" applyFill="1" applyBorder="1" applyAlignment="1">
      <alignment horizontal="center" vertical="center"/>
    </xf>
    <xf numFmtId="169" fontId="7" fillId="6" borderId="0" xfId="6" applyNumberFormat="1" applyFont="1" applyFill="1" applyBorder="1" applyAlignment="1">
      <alignment vertical="center"/>
    </xf>
    <xf numFmtId="0" fontId="0" fillId="0" borderId="0" xfId="7" applyFont="1"/>
    <xf numFmtId="0" fontId="12" fillId="0" borderId="2" xfId="7" applyBorder="1" applyAlignment="1">
      <alignment wrapText="1"/>
    </xf>
    <xf numFmtId="165" fontId="10" fillId="4" borderId="4" xfId="2" applyNumberFormat="1" applyFont="1" applyFill="1" applyBorder="1" applyAlignment="1">
      <alignment horizontal="center" vertical="center"/>
    </xf>
    <xf numFmtId="165" fontId="10" fillId="4" borderId="0" xfId="2" applyNumberFormat="1" applyFont="1" applyFill="1" applyBorder="1" applyAlignment="1">
      <alignment horizontal="center" vertical="center"/>
    </xf>
    <xf numFmtId="165" fontId="10" fillId="4" borderId="5" xfId="2" applyNumberFormat="1" applyFont="1" applyFill="1" applyBorder="1" applyAlignment="1">
      <alignment horizontal="center" vertical="center"/>
    </xf>
    <xf numFmtId="165" fontId="10" fillId="4" borderId="9" xfId="2" applyNumberFormat="1" applyFont="1" applyFill="1" applyBorder="1" applyAlignment="1">
      <alignment horizontal="center" vertical="center"/>
    </xf>
    <xf numFmtId="165" fontId="10" fillId="4" borderId="10" xfId="2" applyNumberFormat="1" applyFont="1" applyFill="1" applyBorder="1" applyAlignment="1">
      <alignment horizontal="center" vertical="center"/>
    </xf>
    <xf numFmtId="165" fontId="10" fillId="4" borderId="11" xfId="2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165" fontId="2" fillId="4" borderId="1" xfId="1" applyNumberFormat="1" applyFont="1" applyFill="1" applyBorder="1" applyAlignment="1">
      <alignment horizontal="center" vertical="center"/>
    </xf>
    <xf numFmtId="165" fontId="2" fillId="4" borderId="2" xfId="1" applyNumberFormat="1" applyFont="1" applyFill="1" applyBorder="1" applyAlignment="1">
      <alignment horizontal="center" vertical="center"/>
    </xf>
    <xf numFmtId="165" fontId="2" fillId="4" borderId="3" xfId="1" applyNumberFormat="1" applyFont="1" applyFill="1" applyBorder="1" applyAlignment="1">
      <alignment horizontal="center" vertical="center"/>
    </xf>
    <xf numFmtId="165" fontId="3" fillId="5" borderId="4" xfId="1" applyNumberFormat="1" applyFont="1" applyFill="1" applyBorder="1" applyAlignment="1">
      <alignment horizontal="left" vertical="center"/>
    </xf>
    <xf numFmtId="165" fontId="3" fillId="5" borderId="6" xfId="1" applyNumberFormat="1" applyFont="1" applyFill="1" applyBorder="1" applyAlignment="1">
      <alignment horizontal="left" vertical="center"/>
    </xf>
    <xf numFmtId="0" fontId="4" fillId="5" borderId="0" xfId="1" applyFont="1" applyFill="1" applyBorder="1" applyAlignment="1" applyProtection="1">
      <alignment horizontal="center" vertical="center" wrapText="1"/>
    </xf>
    <xf numFmtId="0" fontId="4" fillId="5" borderId="0" xfId="1" applyFont="1" applyFill="1" applyBorder="1" applyAlignment="1" applyProtection="1">
      <alignment horizontal="center" vertical="center"/>
    </xf>
    <xf numFmtId="0" fontId="4" fillId="5" borderId="5" xfId="1" applyFont="1" applyFill="1" applyBorder="1" applyAlignment="1" applyProtection="1">
      <alignment horizontal="center" vertical="center"/>
    </xf>
    <xf numFmtId="166" fontId="10" fillId="11" borderId="10" xfId="2" applyNumberFormat="1" applyFont="1" applyFill="1" applyBorder="1" applyAlignment="1">
      <alignment horizontal="right" vertical="center"/>
    </xf>
    <xf numFmtId="166" fontId="10" fillId="11" borderId="11" xfId="2" applyNumberFormat="1" applyFont="1" applyFill="1" applyBorder="1" applyAlignment="1">
      <alignment horizontal="right" vertical="center"/>
    </xf>
    <xf numFmtId="166" fontId="10" fillId="5" borderId="2" xfId="4" applyNumberFormat="1" applyFont="1" applyFill="1" applyBorder="1" applyAlignment="1">
      <alignment horizontal="right" vertical="center"/>
    </xf>
    <xf numFmtId="166" fontId="10" fillId="5" borderId="3" xfId="4" applyNumberFormat="1" applyFont="1" applyFill="1" applyBorder="1" applyAlignment="1">
      <alignment horizontal="right" vertical="center"/>
    </xf>
    <xf numFmtId="166" fontId="10" fillId="5" borderId="12" xfId="5" applyNumberFormat="1" applyFont="1" applyFill="1" applyBorder="1" applyAlignment="1">
      <alignment horizontal="right"/>
    </xf>
    <xf numFmtId="166" fontId="10" fillId="5" borderId="13" xfId="5" applyNumberFormat="1" applyFont="1" applyFill="1" applyBorder="1" applyAlignment="1">
      <alignment horizontal="right"/>
    </xf>
    <xf numFmtId="165" fontId="3" fillId="5" borderId="4" xfId="1" applyNumberFormat="1" applyFont="1" applyFill="1" applyBorder="1" applyAlignment="1">
      <alignment horizontal="center" vertical="center"/>
    </xf>
    <xf numFmtId="165" fontId="3" fillId="5" borderId="6" xfId="1" applyNumberFormat="1" applyFont="1" applyFill="1" applyBorder="1" applyAlignment="1">
      <alignment horizontal="center" vertical="center"/>
    </xf>
  </cellXfs>
  <cellStyles count="8">
    <cellStyle name="Accent1" xfId="1" builtinId="29"/>
    <cellStyle name="Accent4" xfId="2" builtinId="41"/>
    <cellStyle name="Binlik Ayracı 2" xfId="3" xr:uid="{00000000-0005-0000-0000-000000000000}"/>
    <cellStyle name="Comma" xfId="6" builtinId="3"/>
    <cellStyle name="Normal" xfId="0" builtinId="0"/>
    <cellStyle name="Normal 10" xfId="7" xr:uid="{00000000-0005-0000-0000-000002000000}"/>
    <cellStyle name="Normal 2" xfId="5" xr:uid="{00000000-0005-0000-0000-000003000000}"/>
    <cellStyle name="Yüzde 2" xfId="4" xr:uid="{00000000-0005-0000-0000-000007000000}"/>
  </cellStyles>
  <dxfs count="5">
    <dxf>
      <numFmt numFmtId="171" formatCode="0;;;@"/>
    </dxf>
    <dxf>
      <numFmt numFmtId="171" formatCode="0;;;@"/>
    </dxf>
    <dxf>
      <numFmt numFmtId="171" formatCode="0;;;@"/>
    </dxf>
    <dxf>
      <numFmt numFmtId="171" formatCode="0;;;@"/>
    </dxf>
    <dxf>
      <numFmt numFmtId="171" formatCode="0;;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2"/>
  <sheetViews>
    <sheetView tabSelected="1" topLeftCell="A30" zoomScale="77" zoomScaleNormal="77" workbookViewId="0">
      <selection activeCell="E37" sqref="E37"/>
    </sheetView>
  </sheetViews>
  <sheetFormatPr defaultRowHeight="14.4" x14ac:dyDescent="0.3"/>
  <cols>
    <col min="1" max="1" width="36.6640625" bestFit="1" customWidth="1"/>
    <col min="2" max="10" width="14.33203125" customWidth="1"/>
  </cols>
  <sheetData>
    <row r="1" spans="1:10" ht="22.5" customHeight="1" x14ac:dyDescent="0.3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4"/>
    </row>
    <row r="2" spans="1:10" ht="27" customHeight="1" x14ac:dyDescent="0.3">
      <c r="A2" s="65" t="s">
        <v>1</v>
      </c>
      <c r="B2" s="67" t="s">
        <v>66</v>
      </c>
      <c r="C2" s="67"/>
      <c r="D2" s="67"/>
      <c r="E2" s="67" t="s">
        <v>67</v>
      </c>
      <c r="F2" s="67"/>
      <c r="G2" s="67"/>
      <c r="H2" s="68"/>
      <c r="I2" s="68"/>
      <c r="J2" s="69"/>
    </row>
    <row r="3" spans="1:10" x14ac:dyDescent="0.3">
      <c r="A3" s="66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16027</v>
      </c>
      <c r="C4" s="3">
        <v>12245</v>
      </c>
      <c r="D4" s="3">
        <v>28272</v>
      </c>
      <c r="E4" s="3">
        <v>15283</v>
      </c>
      <c r="F4" s="3">
        <v>9922</v>
      </c>
      <c r="G4" s="3">
        <v>25205</v>
      </c>
      <c r="H4" s="4"/>
      <c r="I4" s="4"/>
      <c r="J4" s="5"/>
    </row>
    <row r="5" spans="1:10" x14ac:dyDescent="0.3">
      <c r="A5" s="6" t="s">
        <v>58</v>
      </c>
      <c r="B5" s="7">
        <v>109642</v>
      </c>
      <c r="C5" s="7">
        <v>316210</v>
      </c>
      <c r="D5" s="7">
        <v>425852</v>
      </c>
      <c r="E5" s="7">
        <v>126474</v>
      </c>
      <c r="F5" s="7">
        <v>379446</v>
      </c>
      <c r="G5" s="7">
        <v>505920</v>
      </c>
      <c r="H5" s="8"/>
      <c r="I5" s="8"/>
      <c r="J5" s="9"/>
    </row>
    <row r="6" spans="1:10" x14ac:dyDescent="0.3">
      <c r="A6" s="10" t="s">
        <v>59</v>
      </c>
      <c r="B6" s="3">
        <v>97292</v>
      </c>
      <c r="C6" s="3">
        <v>102941</v>
      </c>
      <c r="D6" s="3">
        <v>200233</v>
      </c>
      <c r="E6" s="3">
        <v>107759</v>
      </c>
      <c r="F6" s="3">
        <v>120442</v>
      </c>
      <c r="G6" s="3">
        <v>228201</v>
      </c>
      <c r="H6" s="4"/>
      <c r="I6" s="4"/>
      <c r="J6" s="5"/>
    </row>
    <row r="7" spans="1:10" x14ac:dyDescent="0.3">
      <c r="A7" s="6" t="s">
        <v>6</v>
      </c>
      <c r="B7" s="7">
        <v>53926</v>
      </c>
      <c r="C7" s="7">
        <v>17429</v>
      </c>
      <c r="D7" s="7">
        <v>71355</v>
      </c>
      <c r="E7" s="7">
        <v>69762</v>
      </c>
      <c r="F7" s="7">
        <v>23312</v>
      </c>
      <c r="G7" s="7">
        <v>93074</v>
      </c>
      <c r="H7" s="8"/>
      <c r="I7" s="8"/>
      <c r="J7" s="9"/>
    </row>
    <row r="8" spans="1:10" x14ac:dyDescent="0.3">
      <c r="A8" s="10" t="s">
        <v>7</v>
      </c>
      <c r="B8" s="3">
        <v>42396</v>
      </c>
      <c r="C8" s="3">
        <v>27067</v>
      </c>
      <c r="D8" s="3">
        <v>69463</v>
      </c>
      <c r="E8" s="3">
        <v>44156</v>
      </c>
      <c r="F8" s="3">
        <v>28844</v>
      </c>
      <c r="G8" s="3">
        <v>73000</v>
      </c>
      <c r="H8" s="4"/>
      <c r="I8" s="4"/>
      <c r="J8" s="5"/>
    </row>
    <row r="9" spans="1:10" x14ac:dyDescent="0.3">
      <c r="A9" s="6" t="s">
        <v>8</v>
      </c>
      <c r="B9" s="7">
        <v>42103</v>
      </c>
      <c r="C9" s="7">
        <v>155966</v>
      </c>
      <c r="D9" s="7">
        <v>198069</v>
      </c>
      <c r="E9" s="7">
        <v>44403</v>
      </c>
      <c r="F9" s="7">
        <v>181165</v>
      </c>
      <c r="G9" s="7">
        <v>225568</v>
      </c>
      <c r="H9" s="8"/>
      <c r="I9" s="8"/>
      <c r="J9" s="9"/>
    </row>
    <row r="10" spans="1:10" x14ac:dyDescent="0.3">
      <c r="A10" s="10" t="s">
        <v>60</v>
      </c>
      <c r="B10" s="3">
        <v>3808</v>
      </c>
      <c r="C10" s="3">
        <v>2101</v>
      </c>
      <c r="D10" s="3">
        <v>5909</v>
      </c>
      <c r="E10" s="3">
        <v>4354</v>
      </c>
      <c r="F10" s="3">
        <v>2804</v>
      </c>
      <c r="G10" s="3">
        <v>7158</v>
      </c>
      <c r="H10" s="4"/>
      <c r="I10" s="4"/>
      <c r="J10" s="5"/>
    </row>
    <row r="11" spans="1:10" x14ac:dyDescent="0.3">
      <c r="A11" s="6" t="s">
        <v>9</v>
      </c>
      <c r="B11" s="7">
        <v>22430</v>
      </c>
      <c r="C11" s="7">
        <v>20791</v>
      </c>
      <c r="D11" s="7">
        <v>43221</v>
      </c>
      <c r="E11" s="7">
        <v>23202</v>
      </c>
      <c r="F11" s="7">
        <v>22892</v>
      </c>
      <c r="G11" s="7">
        <v>46094</v>
      </c>
      <c r="H11" s="8"/>
      <c r="I11" s="8"/>
      <c r="J11" s="9"/>
    </row>
    <row r="12" spans="1:10" x14ac:dyDescent="0.3">
      <c r="A12" s="10" t="s">
        <v>10</v>
      </c>
      <c r="B12" s="3">
        <v>18969</v>
      </c>
      <c r="C12" s="3">
        <v>16653</v>
      </c>
      <c r="D12" s="3">
        <v>35622</v>
      </c>
      <c r="E12" s="3">
        <v>22928</v>
      </c>
      <c r="F12" s="3">
        <v>15857</v>
      </c>
      <c r="G12" s="3">
        <v>38785</v>
      </c>
      <c r="H12" s="4"/>
      <c r="I12" s="4"/>
      <c r="J12" s="5"/>
    </row>
    <row r="13" spans="1:10" x14ac:dyDescent="0.3">
      <c r="A13" s="6" t="s">
        <v>11</v>
      </c>
      <c r="B13" s="7">
        <v>36862</v>
      </c>
      <c r="C13" s="7">
        <v>7385</v>
      </c>
      <c r="D13" s="7">
        <v>44247</v>
      </c>
      <c r="E13" s="7">
        <v>38640</v>
      </c>
      <c r="F13" s="7">
        <v>8169</v>
      </c>
      <c r="G13" s="7">
        <v>46809</v>
      </c>
      <c r="H13" s="8"/>
      <c r="I13" s="8"/>
      <c r="J13" s="9"/>
    </row>
    <row r="14" spans="1:10" x14ac:dyDescent="0.3">
      <c r="A14" s="10" t="s">
        <v>12</v>
      </c>
      <c r="B14" s="3">
        <v>16966</v>
      </c>
      <c r="C14" s="3">
        <v>6529</v>
      </c>
      <c r="D14" s="3">
        <v>23495</v>
      </c>
      <c r="E14" s="3">
        <v>18987</v>
      </c>
      <c r="F14" s="3">
        <v>7768</v>
      </c>
      <c r="G14" s="3">
        <v>26755</v>
      </c>
      <c r="H14" s="4"/>
      <c r="I14" s="4"/>
      <c r="J14" s="5"/>
    </row>
    <row r="15" spans="1:10" x14ac:dyDescent="0.3">
      <c r="A15" s="6" t="s">
        <v>13</v>
      </c>
      <c r="B15" s="7">
        <v>6730</v>
      </c>
      <c r="C15" s="7">
        <v>172</v>
      </c>
      <c r="D15" s="7">
        <v>6902</v>
      </c>
      <c r="E15" s="7">
        <v>7404</v>
      </c>
      <c r="F15" s="7">
        <v>199</v>
      </c>
      <c r="G15" s="7">
        <v>7603</v>
      </c>
      <c r="H15" s="8"/>
      <c r="I15" s="8"/>
      <c r="J15" s="9"/>
    </row>
    <row r="16" spans="1:10" x14ac:dyDescent="0.3">
      <c r="A16" s="10" t="s">
        <v>14</v>
      </c>
      <c r="B16" s="3">
        <v>16412</v>
      </c>
      <c r="C16" s="3">
        <v>2357</v>
      </c>
      <c r="D16" s="3">
        <v>18769</v>
      </c>
      <c r="E16" s="3">
        <v>20115</v>
      </c>
      <c r="F16" s="3">
        <v>2769</v>
      </c>
      <c r="G16" s="3">
        <v>22884</v>
      </c>
      <c r="H16" s="4"/>
      <c r="I16" s="4"/>
      <c r="J16" s="5"/>
    </row>
    <row r="17" spans="1:10" x14ac:dyDescent="0.3">
      <c r="A17" s="6" t="s">
        <v>15</v>
      </c>
      <c r="B17" s="7">
        <v>1495</v>
      </c>
      <c r="C17" s="7">
        <v>3</v>
      </c>
      <c r="D17" s="7">
        <v>1498</v>
      </c>
      <c r="E17" s="7">
        <v>4034</v>
      </c>
      <c r="F17" s="7">
        <v>76</v>
      </c>
      <c r="G17" s="7">
        <v>4110</v>
      </c>
      <c r="H17" s="8"/>
      <c r="I17" s="8"/>
      <c r="J17" s="9"/>
    </row>
    <row r="18" spans="1:10" x14ac:dyDescent="0.3">
      <c r="A18" s="10" t="s">
        <v>16</v>
      </c>
      <c r="B18" s="3">
        <v>1521</v>
      </c>
      <c r="C18" s="3">
        <v>40</v>
      </c>
      <c r="D18" s="3">
        <v>1561</v>
      </c>
      <c r="E18" s="3">
        <v>2086</v>
      </c>
      <c r="F18" s="3">
        <v>48</v>
      </c>
      <c r="G18" s="3">
        <v>2134</v>
      </c>
      <c r="H18" s="4"/>
      <c r="I18" s="4"/>
      <c r="J18" s="5"/>
    </row>
    <row r="19" spans="1:10" x14ac:dyDescent="0.3">
      <c r="A19" s="6" t="s">
        <v>17</v>
      </c>
      <c r="B19" s="7">
        <v>827</v>
      </c>
      <c r="C19" s="7">
        <v>131</v>
      </c>
      <c r="D19" s="7">
        <v>958</v>
      </c>
      <c r="E19" s="7">
        <v>1081</v>
      </c>
      <c r="F19" s="7">
        <v>85</v>
      </c>
      <c r="G19" s="7">
        <v>1166</v>
      </c>
      <c r="H19" s="8"/>
      <c r="I19" s="8"/>
      <c r="J19" s="9"/>
    </row>
    <row r="20" spans="1:10" x14ac:dyDescent="0.3">
      <c r="A20" s="10" t="s">
        <v>61</v>
      </c>
      <c r="B20" s="3">
        <v>34298</v>
      </c>
      <c r="C20" s="3">
        <v>0</v>
      </c>
      <c r="D20" s="3">
        <v>34298</v>
      </c>
      <c r="E20" s="3">
        <v>41795</v>
      </c>
      <c r="F20" s="3">
        <v>1</v>
      </c>
      <c r="G20" s="3">
        <v>41796</v>
      </c>
      <c r="H20" s="4"/>
      <c r="I20" s="4"/>
      <c r="J20" s="5"/>
    </row>
    <row r="21" spans="1:10" x14ac:dyDescent="0.3">
      <c r="A21" s="6" t="s">
        <v>18</v>
      </c>
      <c r="B21" s="7">
        <v>25370</v>
      </c>
      <c r="C21" s="7">
        <v>131</v>
      </c>
      <c r="D21" s="7">
        <v>25501</v>
      </c>
      <c r="E21" s="7">
        <v>22522</v>
      </c>
      <c r="F21" s="7">
        <v>246</v>
      </c>
      <c r="G21" s="7">
        <v>22768</v>
      </c>
      <c r="H21" s="8"/>
      <c r="I21" s="8"/>
      <c r="J21" s="9"/>
    </row>
    <row r="22" spans="1:10" x14ac:dyDescent="0.3">
      <c r="A22" s="10" t="s">
        <v>19</v>
      </c>
      <c r="B22" s="3">
        <v>236</v>
      </c>
      <c r="C22" s="3">
        <v>0</v>
      </c>
      <c r="D22" s="3">
        <v>236</v>
      </c>
      <c r="E22" s="3">
        <v>132</v>
      </c>
      <c r="F22" s="3">
        <v>0</v>
      </c>
      <c r="G22" s="3">
        <v>132</v>
      </c>
      <c r="H22" s="4"/>
      <c r="I22" s="4"/>
      <c r="J22" s="5"/>
    </row>
    <row r="23" spans="1:10" x14ac:dyDescent="0.3">
      <c r="A23" s="6" t="s">
        <v>20</v>
      </c>
      <c r="B23" s="7">
        <v>2824</v>
      </c>
      <c r="C23" s="7">
        <v>3</v>
      </c>
      <c r="D23" s="7">
        <v>2827</v>
      </c>
      <c r="E23" s="7">
        <v>3440</v>
      </c>
      <c r="F23" s="7">
        <v>18</v>
      </c>
      <c r="G23" s="7">
        <v>3458</v>
      </c>
      <c r="H23" s="8"/>
      <c r="I23" s="8"/>
      <c r="J23" s="9"/>
    </row>
    <row r="24" spans="1:10" x14ac:dyDescent="0.3">
      <c r="A24" s="10" t="s">
        <v>21</v>
      </c>
      <c r="B24" s="3">
        <v>1062</v>
      </c>
      <c r="C24" s="3">
        <v>3</v>
      </c>
      <c r="D24" s="3">
        <v>1065</v>
      </c>
      <c r="E24" s="3">
        <v>1394</v>
      </c>
      <c r="F24" s="3">
        <v>2</v>
      </c>
      <c r="G24" s="3">
        <v>1396</v>
      </c>
      <c r="H24" s="4"/>
      <c r="I24" s="4"/>
      <c r="J24" s="5"/>
    </row>
    <row r="25" spans="1:10" x14ac:dyDescent="0.3">
      <c r="A25" s="6" t="s">
        <v>22</v>
      </c>
      <c r="B25" s="7">
        <v>18151</v>
      </c>
      <c r="C25" s="7">
        <v>222</v>
      </c>
      <c r="D25" s="7">
        <v>18373</v>
      </c>
      <c r="E25" s="7">
        <v>16735</v>
      </c>
      <c r="F25" s="7">
        <v>269</v>
      </c>
      <c r="G25" s="7">
        <v>17004</v>
      </c>
      <c r="H25" s="8"/>
      <c r="I25" s="8"/>
      <c r="J25" s="9"/>
    </row>
    <row r="26" spans="1:10" x14ac:dyDescent="0.3">
      <c r="A26" s="10" t="s">
        <v>23</v>
      </c>
      <c r="B26" s="3">
        <v>6280</v>
      </c>
      <c r="C26" s="3">
        <v>49</v>
      </c>
      <c r="D26" s="3">
        <v>6329</v>
      </c>
      <c r="E26" s="3">
        <v>5977</v>
      </c>
      <c r="F26" s="3">
        <v>57</v>
      </c>
      <c r="G26" s="3">
        <v>6034</v>
      </c>
      <c r="H26" s="4"/>
      <c r="I26" s="4"/>
      <c r="J26" s="5"/>
    </row>
    <row r="27" spans="1:10" x14ac:dyDescent="0.3">
      <c r="A27" s="6" t="s">
        <v>24</v>
      </c>
      <c r="B27" s="7">
        <v>89</v>
      </c>
      <c r="C27" s="7">
        <v>0</v>
      </c>
      <c r="D27" s="7">
        <v>89</v>
      </c>
      <c r="E27" s="7">
        <v>142</v>
      </c>
      <c r="F27" s="7">
        <v>0</v>
      </c>
      <c r="G27" s="7">
        <v>142</v>
      </c>
      <c r="H27" s="8"/>
      <c r="I27" s="8"/>
      <c r="J27" s="9"/>
    </row>
    <row r="28" spans="1:10" x14ac:dyDescent="0.3">
      <c r="A28" s="10" t="s">
        <v>25</v>
      </c>
      <c r="B28" s="3">
        <v>5033</v>
      </c>
      <c r="C28" s="3">
        <v>295</v>
      </c>
      <c r="D28" s="3">
        <v>5328</v>
      </c>
      <c r="E28" s="3">
        <v>4876</v>
      </c>
      <c r="F28" s="3">
        <v>325</v>
      </c>
      <c r="G28" s="3">
        <v>5201</v>
      </c>
      <c r="H28" s="4"/>
      <c r="I28" s="4"/>
      <c r="J28" s="5"/>
    </row>
    <row r="29" spans="1:10" x14ac:dyDescent="0.3">
      <c r="A29" s="6" t="s">
        <v>26</v>
      </c>
      <c r="B29" s="7">
        <v>9777</v>
      </c>
      <c r="C29" s="7">
        <v>922</v>
      </c>
      <c r="D29" s="7">
        <v>10699</v>
      </c>
      <c r="E29" s="7">
        <v>12136</v>
      </c>
      <c r="F29" s="7">
        <v>981</v>
      </c>
      <c r="G29" s="7">
        <v>13117</v>
      </c>
      <c r="H29" s="8"/>
      <c r="I29" s="8"/>
      <c r="J29" s="9"/>
    </row>
    <row r="30" spans="1:10" x14ac:dyDescent="0.3">
      <c r="A30" s="10" t="s">
        <v>27</v>
      </c>
      <c r="B30" s="3">
        <v>6061</v>
      </c>
      <c r="C30" s="3">
        <v>456</v>
      </c>
      <c r="D30" s="3">
        <v>6517</v>
      </c>
      <c r="E30" s="3">
        <v>7319</v>
      </c>
      <c r="F30" s="3">
        <v>500</v>
      </c>
      <c r="G30" s="3">
        <v>7819</v>
      </c>
      <c r="H30" s="4"/>
      <c r="I30" s="4"/>
      <c r="J30" s="5"/>
    </row>
    <row r="31" spans="1:10" x14ac:dyDescent="0.3">
      <c r="A31" s="6" t="s">
        <v>53</v>
      </c>
      <c r="B31" s="7">
        <v>2303</v>
      </c>
      <c r="C31" s="7">
        <v>118</v>
      </c>
      <c r="D31" s="7">
        <v>2421</v>
      </c>
      <c r="E31" s="7">
        <v>2979</v>
      </c>
      <c r="F31" s="7">
        <v>12</v>
      </c>
      <c r="G31" s="7">
        <v>2991</v>
      </c>
      <c r="H31" s="8"/>
      <c r="I31" s="8"/>
      <c r="J31" s="9"/>
    </row>
    <row r="32" spans="1:10" x14ac:dyDescent="0.3">
      <c r="A32" s="10" t="s">
        <v>62</v>
      </c>
      <c r="B32" s="3">
        <v>4270</v>
      </c>
      <c r="C32" s="3">
        <v>842</v>
      </c>
      <c r="D32" s="3">
        <v>5112</v>
      </c>
      <c r="E32" s="3">
        <v>5015</v>
      </c>
      <c r="F32" s="3">
        <v>729</v>
      </c>
      <c r="G32" s="3">
        <v>5744</v>
      </c>
      <c r="H32" s="4"/>
      <c r="I32" s="4"/>
      <c r="J32" s="5"/>
    </row>
    <row r="33" spans="1:10" x14ac:dyDescent="0.3">
      <c r="A33" s="6" t="s">
        <v>51</v>
      </c>
      <c r="B33" s="7">
        <v>1969</v>
      </c>
      <c r="C33" s="7">
        <v>0</v>
      </c>
      <c r="D33" s="7">
        <v>1969</v>
      </c>
      <c r="E33" s="7">
        <v>1851</v>
      </c>
      <c r="F33" s="7">
        <v>1</v>
      </c>
      <c r="G33" s="7">
        <v>1852</v>
      </c>
      <c r="H33" s="8"/>
      <c r="I33" s="8"/>
      <c r="J33" s="9"/>
    </row>
    <row r="34" spans="1:10" x14ac:dyDescent="0.3">
      <c r="A34" s="10" t="s">
        <v>28</v>
      </c>
      <c r="B34" s="3">
        <v>7264</v>
      </c>
      <c r="C34" s="3">
        <v>1197</v>
      </c>
      <c r="D34" s="3">
        <v>8461</v>
      </c>
      <c r="E34" s="3">
        <v>4327</v>
      </c>
      <c r="F34" s="3">
        <v>164</v>
      </c>
      <c r="G34" s="3">
        <v>4491</v>
      </c>
      <c r="H34" s="4"/>
      <c r="I34" s="4"/>
      <c r="J34" s="5"/>
    </row>
    <row r="35" spans="1:10" x14ac:dyDescent="0.3">
      <c r="A35" s="6" t="s">
        <v>50</v>
      </c>
      <c r="B35" s="7">
        <v>2267</v>
      </c>
      <c r="C35" s="7">
        <v>53</v>
      </c>
      <c r="D35" s="7">
        <v>2320</v>
      </c>
      <c r="E35" s="7">
        <v>3136</v>
      </c>
      <c r="F35" s="7">
        <v>35</v>
      </c>
      <c r="G35" s="7">
        <v>3171</v>
      </c>
      <c r="H35" s="8"/>
      <c r="I35" s="8"/>
      <c r="J35" s="9"/>
    </row>
    <row r="36" spans="1:10" x14ac:dyDescent="0.3">
      <c r="A36" s="10" t="s">
        <v>29</v>
      </c>
      <c r="B36" s="3">
        <v>32346</v>
      </c>
      <c r="C36" s="3">
        <v>222</v>
      </c>
      <c r="D36" s="3">
        <v>32568</v>
      </c>
      <c r="E36" s="3">
        <v>25017</v>
      </c>
      <c r="F36" s="3">
        <v>259</v>
      </c>
      <c r="G36" s="3">
        <v>25276</v>
      </c>
      <c r="H36" s="4"/>
      <c r="I36" s="4"/>
      <c r="J36" s="5"/>
    </row>
    <row r="37" spans="1:10" x14ac:dyDescent="0.3">
      <c r="A37" s="6" t="s">
        <v>30</v>
      </c>
      <c r="B37" s="7">
        <v>2075</v>
      </c>
      <c r="C37" s="7">
        <v>31</v>
      </c>
      <c r="D37" s="7">
        <v>2106</v>
      </c>
      <c r="E37" s="7">
        <v>3988</v>
      </c>
      <c r="F37" s="7">
        <v>108</v>
      </c>
      <c r="G37" s="7">
        <v>4096</v>
      </c>
      <c r="H37" s="8"/>
      <c r="I37" s="8"/>
      <c r="J37" s="9"/>
    </row>
    <row r="38" spans="1:10" x14ac:dyDescent="0.3">
      <c r="A38" s="10" t="s">
        <v>37</v>
      </c>
      <c r="B38" s="3">
        <v>14958</v>
      </c>
      <c r="C38" s="3">
        <v>243</v>
      </c>
      <c r="D38" s="3">
        <v>15201</v>
      </c>
      <c r="E38" s="3">
        <v>12520</v>
      </c>
      <c r="F38" s="3">
        <v>262</v>
      </c>
      <c r="G38" s="3">
        <v>12782</v>
      </c>
      <c r="H38" s="4"/>
      <c r="I38" s="4"/>
      <c r="J38" s="5"/>
    </row>
    <row r="39" spans="1:10" x14ac:dyDescent="0.3">
      <c r="A39" s="6" t="s">
        <v>31</v>
      </c>
      <c r="B39" s="7">
        <v>3152</v>
      </c>
      <c r="C39" s="7">
        <v>4</v>
      </c>
      <c r="D39" s="7">
        <v>3156</v>
      </c>
      <c r="E39" s="7">
        <v>3597</v>
      </c>
      <c r="F39" s="7">
        <v>19</v>
      </c>
      <c r="G39" s="7">
        <v>3616</v>
      </c>
      <c r="H39" s="8"/>
      <c r="I39" s="8"/>
      <c r="J39" s="9"/>
    </row>
    <row r="40" spans="1:10" x14ac:dyDescent="0.3">
      <c r="A40" s="10" t="s">
        <v>32</v>
      </c>
      <c r="B40" s="3">
        <v>714</v>
      </c>
      <c r="C40" s="3">
        <v>9</v>
      </c>
      <c r="D40" s="3">
        <v>723</v>
      </c>
      <c r="E40" s="3">
        <v>871</v>
      </c>
      <c r="F40" s="3">
        <v>24</v>
      </c>
      <c r="G40" s="3">
        <v>895</v>
      </c>
      <c r="H40" s="4"/>
      <c r="I40" s="4"/>
      <c r="J40" s="5"/>
    </row>
    <row r="41" spans="1:10" x14ac:dyDescent="0.3">
      <c r="A41" s="6" t="s">
        <v>33</v>
      </c>
      <c r="B41" s="7">
        <v>11963</v>
      </c>
      <c r="C41" s="7">
        <v>4516</v>
      </c>
      <c r="D41" s="7">
        <v>16479</v>
      </c>
      <c r="E41" s="7">
        <v>13110</v>
      </c>
      <c r="F41" s="7">
        <v>3372</v>
      </c>
      <c r="G41" s="7">
        <v>16482</v>
      </c>
      <c r="H41" s="8"/>
      <c r="I41" s="8"/>
      <c r="J41" s="9"/>
    </row>
    <row r="42" spans="1:10" x14ac:dyDescent="0.3">
      <c r="A42" s="10" t="s">
        <v>34</v>
      </c>
      <c r="B42" s="3">
        <v>1683</v>
      </c>
      <c r="C42" s="3">
        <v>51</v>
      </c>
      <c r="D42" s="3">
        <v>1734</v>
      </c>
      <c r="E42" s="3">
        <v>909</v>
      </c>
      <c r="F42" s="3">
        <v>47</v>
      </c>
      <c r="G42" s="3">
        <v>956</v>
      </c>
      <c r="H42" s="4"/>
      <c r="I42" s="4"/>
      <c r="J42" s="5"/>
    </row>
    <row r="43" spans="1:10" x14ac:dyDescent="0.3">
      <c r="A43" s="6" t="s">
        <v>35</v>
      </c>
      <c r="B43" s="7">
        <v>6297</v>
      </c>
      <c r="C43" s="7">
        <v>1329</v>
      </c>
      <c r="D43" s="7">
        <v>7626</v>
      </c>
      <c r="E43" s="7">
        <v>5905</v>
      </c>
      <c r="F43" s="7">
        <v>1246</v>
      </c>
      <c r="G43" s="7">
        <v>7151</v>
      </c>
      <c r="H43" s="8"/>
      <c r="I43" s="8"/>
      <c r="J43" s="9"/>
    </row>
    <row r="44" spans="1:10" x14ac:dyDescent="0.3">
      <c r="A44" s="10" t="s">
        <v>36</v>
      </c>
      <c r="B44" s="3">
        <v>5079</v>
      </c>
      <c r="C44" s="3">
        <v>146</v>
      </c>
      <c r="D44" s="3">
        <v>5225</v>
      </c>
      <c r="E44" s="3">
        <v>5945</v>
      </c>
      <c r="F44" s="3">
        <v>56</v>
      </c>
      <c r="G44" s="3">
        <v>6001</v>
      </c>
      <c r="H44" s="4"/>
      <c r="I44" s="4"/>
      <c r="J44" s="5"/>
    </row>
    <row r="45" spans="1:10" x14ac:dyDescent="0.3">
      <c r="A45" s="6" t="s">
        <v>54</v>
      </c>
      <c r="B45" s="7">
        <v>3977</v>
      </c>
      <c r="C45" s="7">
        <v>12</v>
      </c>
      <c r="D45" s="7">
        <v>3989</v>
      </c>
      <c r="E45" s="7">
        <v>5040</v>
      </c>
      <c r="F45" s="7">
        <v>38</v>
      </c>
      <c r="G45" s="7">
        <v>5078</v>
      </c>
      <c r="H45" s="8"/>
      <c r="I45" s="8"/>
      <c r="J45" s="9"/>
    </row>
    <row r="46" spans="1:10" x14ac:dyDescent="0.3">
      <c r="A46" s="10" t="s">
        <v>55</v>
      </c>
      <c r="B46" s="3">
        <v>2418</v>
      </c>
      <c r="C46" s="3">
        <v>5</v>
      </c>
      <c r="D46" s="3">
        <v>2423</v>
      </c>
      <c r="E46" s="3">
        <v>3216</v>
      </c>
      <c r="F46" s="3">
        <v>17</v>
      </c>
      <c r="G46" s="3">
        <v>3233</v>
      </c>
      <c r="H46" s="4"/>
      <c r="I46" s="4"/>
      <c r="J46" s="5"/>
    </row>
    <row r="47" spans="1:10" x14ac:dyDescent="0.3">
      <c r="A47" s="6" t="s">
        <v>38</v>
      </c>
      <c r="B47" s="7">
        <v>6194</v>
      </c>
      <c r="C47" s="7">
        <v>175</v>
      </c>
      <c r="D47" s="7">
        <v>6369</v>
      </c>
      <c r="E47" s="7">
        <v>7075</v>
      </c>
      <c r="F47" s="7">
        <v>235</v>
      </c>
      <c r="G47" s="7">
        <v>7310</v>
      </c>
      <c r="H47" s="8"/>
      <c r="I47" s="8"/>
      <c r="J47" s="9"/>
    </row>
    <row r="48" spans="1:10" x14ac:dyDescent="0.3">
      <c r="A48" s="10" t="s">
        <v>56</v>
      </c>
      <c r="B48" s="3">
        <v>3724</v>
      </c>
      <c r="C48" s="3">
        <v>36</v>
      </c>
      <c r="D48" s="3">
        <v>3760</v>
      </c>
      <c r="E48" s="3">
        <v>7355</v>
      </c>
      <c r="F48" s="3">
        <v>109</v>
      </c>
      <c r="G48" s="3">
        <v>7464</v>
      </c>
      <c r="H48" s="4"/>
      <c r="I48" s="4"/>
      <c r="J48" s="5"/>
    </row>
    <row r="49" spans="1:11" x14ac:dyDescent="0.3">
      <c r="A49" s="6" t="s">
        <v>39</v>
      </c>
      <c r="B49" s="7">
        <v>12599</v>
      </c>
      <c r="C49" s="7">
        <v>1553</v>
      </c>
      <c r="D49" s="7">
        <v>14152</v>
      </c>
      <c r="E49" s="7">
        <v>13316</v>
      </c>
      <c r="F49" s="7">
        <v>1410</v>
      </c>
      <c r="G49" s="7">
        <v>14726</v>
      </c>
      <c r="H49" s="8"/>
      <c r="I49" s="8"/>
      <c r="J49" s="9"/>
    </row>
    <row r="50" spans="1:11" x14ac:dyDescent="0.3">
      <c r="A50" s="10" t="s">
        <v>40</v>
      </c>
      <c r="B50" s="3">
        <v>526</v>
      </c>
      <c r="C50" s="3">
        <v>0</v>
      </c>
      <c r="D50" s="3">
        <v>526</v>
      </c>
      <c r="E50" s="3">
        <v>588</v>
      </c>
      <c r="F50" s="3">
        <v>0</v>
      </c>
      <c r="G50" s="3">
        <v>588</v>
      </c>
      <c r="H50" s="4"/>
      <c r="I50" s="4"/>
      <c r="J50" s="5"/>
    </row>
    <row r="51" spans="1:11" x14ac:dyDescent="0.3">
      <c r="A51" s="6" t="s">
        <v>41</v>
      </c>
      <c r="B51" s="7">
        <v>918</v>
      </c>
      <c r="C51" s="7">
        <v>7</v>
      </c>
      <c r="D51" s="7">
        <v>925</v>
      </c>
      <c r="E51" s="7">
        <v>1084</v>
      </c>
      <c r="F51" s="7">
        <v>4</v>
      </c>
      <c r="G51" s="7">
        <v>1088</v>
      </c>
      <c r="H51" s="8"/>
      <c r="I51" s="8"/>
      <c r="J51" s="9"/>
    </row>
    <row r="52" spans="1:11" x14ac:dyDescent="0.3">
      <c r="A52" s="10" t="s">
        <v>42</v>
      </c>
      <c r="B52" s="3">
        <v>3017</v>
      </c>
      <c r="C52" s="3">
        <v>62</v>
      </c>
      <c r="D52" s="3">
        <v>3079</v>
      </c>
      <c r="E52" s="3">
        <v>3335</v>
      </c>
      <c r="F52" s="3">
        <v>57</v>
      </c>
      <c r="G52" s="3">
        <v>3392</v>
      </c>
      <c r="H52" s="4"/>
      <c r="I52" s="4"/>
      <c r="J52" s="5"/>
    </row>
    <row r="53" spans="1:11" x14ac:dyDescent="0.3">
      <c r="A53" s="6" t="s">
        <v>57</v>
      </c>
      <c r="B53" s="7">
        <v>5808</v>
      </c>
      <c r="C53" s="7">
        <v>42</v>
      </c>
      <c r="D53" s="7">
        <v>5850</v>
      </c>
      <c r="E53" s="7">
        <v>8071</v>
      </c>
      <c r="F53" s="7">
        <v>185</v>
      </c>
      <c r="G53" s="7">
        <v>8256</v>
      </c>
      <c r="H53" s="8"/>
      <c r="I53" s="8"/>
      <c r="J53" s="9"/>
    </row>
    <row r="54" spans="1:11" x14ac:dyDescent="0.3">
      <c r="A54" s="10" t="s">
        <v>43</v>
      </c>
      <c r="B54" s="3">
        <v>5485</v>
      </c>
      <c r="C54" s="3">
        <v>2</v>
      </c>
      <c r="D54" s="3">
        <v>5487</v>
      </c>
      <c r="E54" s="3">
        <v>6420</v>
      </c>
      <c r="F54" s="3">
        <v>1</v>
      </c>
      <c r="G54" s="3">
        <v>6421</v>
      </c>
      <c r="H54" s="4"/>
      <c r="I54" s="4"/>
      <c r="J54" s="5"/>
    </row>
    <row r="55" spans="1:11" x14ac:dyDescent="0.3">
      <c r="A55" s="6" t="s">
        <v>52</v>
      </c>
      <c r="B55" s="7">
        <v>24152</v>
      </c>
      <c r="C55" s="7">
        <v>745</v>
      </c>
      <c r="D55" s="7">
        <v>24897</v>
      </c>
      <c r="E55" s="7">
        <v>26903</v>
      </c>
      <c r="F55" s="7">
        <v>713</v>
      </c>
      <c r="G55" s="7">
        <v>27616</v>
      </c>
      <c r="H55" s="8"/>
      <c r="I55" s="8"/>
      <c r="J55" s="9"/>
    </row>
    <row r="56" spans="1:11" x14ac:dyDescent="0.3">
      <c r="A56" s="10" t="s">
        <v>44</v>
      </c>
      <c r="B56" s="3">
        <v>1179</v>
      </c>
      <c r="C56" s="3">
        <v>5</v>
      </c>
      <c r="D56" s="3">
        <v>1184</v>
      </c>
      <c r="E56" s="3">
        <v>1286</v>
      </c>
      <c r="F56" s="3">
        <v>28</v>
      </c>
      <c r="G56" s="3">
        <v>1314</v>
      </c>
      <c r="H56" s="4"/>
      <c r="I56" s="4"/>
      <c r="J56" s="5"/>
    </row>
    <row r="57" spans="1:11" x14ac:dyDescent="0.3">
      <c r="A57" s="6" t="s">
        <v>45</v>
      </c>
      <c r="B57" s="7">
        <v>6016</v>
      </c>
      <c r="C57" s="7">
        <v>20</v>
      </c>
      <c r="D57" s="7">
        <v>6036</v>
      </c>
      <c r="E57" s="7">
        <v>5768</v>
      </c>
      <c r="F57" s="7">
        <v>3</v>
      </c>
      <c r="G57" s="7">
        <v>5771</v>
      </c>
      <c r="H57" s="8"/>
      <c r="I57" s="8"/>
      <c r="J57" s="9"/>
    </row>
    <row r="58" spans="1:11" x14ac:dyDescent="0.3">
      <c r="A58" s="10" t="s">
        <v>46</v>
      </c>
      <c r="B58" s="3">
        <v>15512</v>
      </c>
      <c r="C58" s="3">
        <v>60</v>
      </c>
      <c r="D58" s="3">
        <v>15572</v>
      </c>
      <c r="E58" s="3">
        <v>17740</v>
      </c>
      <c r="F58" s="3">
        <v>65</v>
      </c>
      <c r="G58" s="3">
        <v>17805</v>
      </c>
      <c r="H58" s="4"/>
      <c r="I58" s="4"/>
      <c r="J58" s="5"/>
    </row>
    <row r="59" spans="1:11" x14ac:dyDescent="0.3">
      <c r="A59" s="6" t="s">
        <v>63</v>
      </c>
      <c r="B59" s="7">
        <v>1204</v>
      </c>
      <c r="C59" s="7">
        <v>269</v>
      </c>
      <c r="D59" s="7">
        <v>1473</v>
      </c>
      <c r="E59" s="7">
        <v>5144</v>
      </c>
      <c r="F59" s="7">
        <v>438</v>
      </c>
      <c r="G59" s="7">
        <v>5582</v>
      </c>
      <c r="H59" s="8"/>
      <c r="I59" s="8"/>
      <c r="J59" s="9"/>
    </row>
    <row r="60" spans="1:11" x14ac:dyDescent="0.3">
      <c r="A60" s="10" t="s">
        <v>64</v>
      </c>
      <c r="B60" s="3">
        <v>494</v>
      </c>
      <c r="C60" s="3">
        <v>621</v>
      </c>
      <c r="D60" s="3">
        <v>1115</v>
      </c>
      <c r="E60" s="3">
        <v>757</v>
      </c>
      <c r="F60" s="3">
        <v>639</v>
      </c>
      <c r="G60" s="3">
        <v>1396</v>
      </c>
      <c r="H60" s="4"/>
      <c r="I60" s="4"/>
      <c r="J60" s="5"/>
    </row>
    <row r="61" spans="1:11" x14ac:dyDescent="0.3">
      <c r="A61" s="11"/>
      <c r="B61" s="12"/>
      <c r="C61" s="12"/>
      <c r="D61" s="12"/>
      <c r="E61" s="12"/>
      <c r="F61" s="12"/>
      <c r="G61" s="12"/>
      <c r="H61" s="13"/>
      <c r="I61" s="13"/>
      <c r="J61" s="35"/>
      <c r="K61" s="36"/>
    </row>
    <row r="62" spans="1:11" x14ac:dyDescent="0.3">
      <c r="A62" s="14"/>
      <c r="B62" s="15"/>
      <c r="C62" s="15"/>
      <c r="D62" s="15"/>
      <c r="E62" s="15"/>
      <c r="F62" s="15"/>
      <c r="G62" s="15"/>
      <c r="H62" s="16"/>
      <c r="I62" s="16"/>
      <c r="J62" s="17"/>
    </row>
    <row r="63" spans="1:11" ht="15" thickBot="1" x14ac:dyDescent="0.35">
      <c r="A63" s="18"/>
      <c r="B63" s="19"/>
      <c r="C63" s="19"/>
      <c r="D63" s="19"/>
      <c r="E63" s="19"/>
      <c r="F63" s="19"/>
      <c r="G63" s="19"/>
      <c r="H63" s="70"/>
      <c r="I63" s="70"/>
      <c r="J63" s="71"/>
    </row>
    <row r="64" spans="1:11" x14ac:dyDescent="0.3">
      <c r="A64" s="14"/>
      <c r="B64" s="34"/>
      <c r="C64" s="34"/>
      <c r="D64" s="34"/>
      <c r="E64" s="34"/>
      <c r="F64" s="34"/>
      <c r="G64" s="34"/>
      <c r="H64" s="72"/>
      <c r="I64" s="72"/>
      <c r="J64" s="73"/>
    </row>
    <row r="65" spans="1:10" x14ac:dyDescent="0.3">
      <c r="A65" s="55"/>
      <c r="B65" s="56"/>
      <c r="C65" s="56"/>
      <c r="D65" s="56"/>
      <c r="E65" s="56"/>
      <c r="F65" s="56"/>
      <c r="G65" s="56"/>
      <c r="H65" s="56"/>
      <c r="I65" s="56"/>
      <c r="J65" s="57"/>
    </row>
    <row r="66" spans="1:10" ht="15" thickBot="1" x14ac:dyDescent="0.35">
      <c r="A66" s="58"/>
      <c r="B66" s="59"/>
      <c r="C66" s="59"/>
      <c r="D66" s="59"/>
      <c r="E66" s="59"/>
      <c r="F66" s="59"/>
      <c r="G66" s="59"/>
      <c r="H66" s="59"/>
      <c r="I66" s="59"/>
      <c r="J66" s="60"/>
    </row>
    <row r="67" spans="1:10" ht="48.75" customHeight="1" x14ac:dyDescent="0.3">
      <c r="A67" s="61"/>
      <c r="B67" s="61"/>
      <c r="C67" s="61"/>
      <c r="D67" s="61"/>
      <c r="E67" s="61"/>
      <c r="F67" s="61"/>
      <c r="G67" s="61"/>
      <c r="H67" s="61"/>
      <c r="I67" s="61"/>
      <c r="J67" s="61"/>
    </row>
    <row r="68" spans="1:10" x14ac:dyDescent="0.3">
      <c r="A68" s="39"/>
    </row>
    <row r="69" spans="1:10" x14ac:dyDescent="0.3">
      <c r="H69" s="38"/>
      <c r="I69" s="38"/>
      <c r="J69" s="38"/>
    </row>
    <row r="70" spans="1:10" x14ac:dyDescent="0.3">
      <c r="H70" s="38"/>
      <c r="I70" s="38"/>
      <c r="J70" s="38"/>
    </row>
    <row r="71" spans="1:10" x14ac:dyDescent="0.3">
      <c r="H71" s="38"/>
      <c r="I71" s="38"/>
      <c r="J71" s="38"/>
    </row>
    <row r="72" spans="1:10" x14ac:dyDescent="0.3">
      <c r="H72" s="38"/>
      <c r="I72" s="38"/>
      <c r="J72" s="38"/>
    </row>
  </sheetData>
  <mergeCells count="10">
    <mergeCell ref="A65:J65"/>
    <mergeCell ref="A66:J66"/>
    <mergeCell ref="A67:J67"/>
    <mergeCell ref="A1:J1"/>
    <mergeCell ref="A2:A3"/>
    <mergeCell ref="B2:D2"/>
    <mergeCell ref="E2:G2"/>
    <mergeCell ref="H2:J2"/>
    <mergeCell ref="H63:J63"/>
    <mergeCell ref="H64:J64"/>
  </mergeCells>
  <conditionalFormatting sqref="B4:J60">
    <cfRule type="cellIs" dxfId="4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68"/>
  <sheetViews>
    <sheetView topLeftCell="A49" zoomScale="80" zoomScaleNormal="80" workbookViewId="0">
      <selection activeCell="A61" sqref="A61:J71"/>
    </sheetView>
  </sheetViews>
  <sheetFormatPr defaultRowHeight="14.4" x14ac:dyDescent="0.3"/>
  <cols>
    <col min="1" max="1" width="41.109375" bestFit="1" customWidth="1"/>
    <col min="2" max="10" width="14.33203125" customWidth="1"/>
  </cols>
  <sheetData>
    <row r="1" spans="1:10" ht="25.5" customHeight="1" x14ac:dyDescent="0.3">
      <c r="A1" s="62" t="s">
        <v>47</v>
      </c>
      <c r="B1" s="63"/>
      <c r="C1" s="63"/>
      <c r="D1" s="63"/>
      <c r="E1" s="63"/>
      <c r="F1" s="63"/>
      <c r="G1" s="63"/>
      <c r="H1" s="63"/>
      <c r="I1" s="63"/>
      <c r="J1" s="64"/>
    </row>
    <row r="2" spans="1:10" ht="35.25" customHeight="1" x14ac:dyDescent="0.3">
      <c r="A2" s="76" t="s">
        <v>1</v>
      </c>
      <c r="B2" s="67" t="s">
        <v>66</v>
      </c>
      <c r="C2" s="67"/>
      <c r="D2" s="67"/>
      <c r="E2" s="67" t="s">
        <v>67</v>
      </c>
      <c r="F2" s="67"/>
      <c r="G2" s="67"/>
      <c r="H2" s="68"/>
      <c r="I2" s="68"/>
      <c r="J2" s="69"/>
    </row>
    <row r="3" spans="1:10" x14ac:dyDescent="0.3">
      <c r="A3" s="77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/>
      <c r="I4" s="4"/>
      <c r="J4" s="5"/>
    </row>
    <row r="5" spans="1:10" x14ac:dyDescent="0.3">
      <c r="A5" s="6" t="s">
        <v>58</v>
      </c>
      <c r="B5" s="7">
        <v>15948502</v>
      </c>
      <c r="C5" s="7">
        <v>48569571</v>
      </c>
      <c r="D5" s="7">
        <v>64518073</v>
      </c>
      <c r="E5" s="7">
        <v>17740865</v>
      </c>
      <c r="F5" s="7">
        <v>58271042</v>
      </c>
      <c r="G5" s="7">
        <v>76011907</v>
      </c>
      <c r="H5" s="8"/>
      <c r="I5" s="8"/>
      <c r="J5" s="9"/>
    </row>
    <row r="6" spans="1:10" x14ac:dyDescent="0.3">
      <c r="A6" s="10" t="s">
        <v>59</v>
      </c>
      <c r="B6" s="3">
        <v>15239756</v>
      </c>
      <c r="C6" s="3">
        <v>15498098</v>
      </c>
      <c r="D6" s="3">
        <v>30737854</v>
      </c>
      <c r="E6" s="3">
        <v>17473660</v>
      </c>
      <c r="F6" s="3">
        <v>19351764</v>
      </c>
      <c r="G6" s="3">
        <v>36825424</v>
      </c>
      <c r="H6" s="4"/>
      <c r="I6" s="4"/>
      <c r="J6" s="5"/>
    </row>
    <row r="7" spans="1:10" x14ac:dyDescent="0.3">
      <c r="A7" s="6" t="s">
        <v>6</v>
      </c>
      <c r="B7" s="7">
        <v>6756212</v>
      </c>
      <c r="C7" s="7">
        <v>1923382</v>
      </c>
      <c r="D7" s="7">
        <v>8679594</v>
      </c>
      <c r="E7" s="7">
        <v>9123505</v>
      </c>
      <c r="F7" s="7">
        <v>2827435</v>
      </c>
      <c r="G7" s="7">
        <v>11950940</v>
      </c>
      <c r="H7" s="8"/>
      <c r="I7" s="8"/>
      <c r="J7" s="9"/>
    </row>
    <row r="8" spans="1:10" x14ac:dyDescent="0.3">
      <c r="A8" s="10" t="s">
        <v>7</v>
      </c>
      <c r="B8" s="3">
        <v>6074056</v>
      </c>
      <c r="C8" s="3">
        <v>3760522</v>
      </c>
      <c r="D8" s="3">
        <v>9834578</v>
      </c>
      <c r="E8" s="3">
        <v>6415091</v>
      </c>
      <c r="F8" s="3">
        <v>4141108</v>
      </c>
      <c r="G8" s="3">
        <v>10556199</v>
      </c>
      <c r="H8" s="4"/>
      <c r="I8" s="4"/>
      <c r="J8" s="5"/>
    </row>
    <row r="9" spans="1:10" x14ac:dyDescent="0.3">
      <c r="A9" s="6" t="s">
        <v>8</v>
      </c>
      <c r="B9" s="7">
        <v>5841536</v>
      </c>
      <c r="C9" s="7">
        <v>25266645</v>
      </c>
      <c r="D9" s="7">
        <v>31108181</v>
      </c>
      <c r="E9" s="7">
        <v>6154351</v>
      </c>
      <c r="F9" s="7">
        <v>29509787</v>
      </c>
      <c r="G9" s="7">
        <v>35664138</v>
      </c>
      <c r="H9" s="8"/>
      <c r="I9" s="8"/>
      <c r="J9" s="9"/>
    </row>
    <row r="10" spans="1:10" x14ac:dyDescent="0.3">
      <c r="A10" s="10" t="s">
        <v>60</v>
      </c>
      <c r="B10" s="3">
        <v>421266</v>
      </c>
      <c r="C10" s="3">
        <v>261388</v>
      </c>
      <c r="D10" s="3">
        <v>682654</v>
      </c>
      <c r="E10" s="3">
        <v>473046</v>
      </c>
      <c r="F10" s="3">
        <v>362663</v>
      </c>
      <c r="G10" s="3">
        <v>835709</v>
      </c>
      <c r="H10" s="4"/>
      <c r="I10" s="4"/>
      <c r="J10" s="5"/>
    </row>
    <row r="11" spans="1:10" x14ac:dyDescent="0.3">
      <c r="A11" s="6" t="s">
        <v>9</v>
      </c>
      <c r="B11" s="7">
        <v>1520015</v>
      </c>
      <c r="C11" s="7">
        <v>3015585</v>
      </c>
      <c r="D11" s="7">
        <v>4535600</v>
      </c>
      <c r="E11" s="7">
        <v>1770075</v>
      </c>
      <c r="F11" s="7">
        <v>3465483</v>
      </c>
      <c r="G11" s="7">
        <v>5235558</v>
      </c>
      <c r="H11" s="8"/>
      <c r="I11" s="8"/>
      <c r="J11" s="9"/>
    </row>
    <row r="12" spans="1:10" x14ac:dyDescent="0.3">
      <c r="A12" s="10" t="s">
        <v>10</v>
      </c>
      <c r="B12" s="3">
        <v>2045632</v>
      </c>
      <c r="C12" s="3">
        <v>1852895</v>
      </c>
      <c r="D12" s="3">
        <v>3898527</v>
      </c>
      <c r="E12" s="3">
        <v>2274819</v>
      </c>
      <c r="F12" s="3">
        <v>1778535</v>
      </c>
      <c r="G12" s="3">
        <v>4053354</v>
      </c>
      <c r="H12" s="4"/>
      <c r="I12" s="4"/>
      <c r="J12" s="5"/>
    </row>
    <row r="13" spans="1:10" x14ac:dyDescent="0.3">
      <c r="A13" s="6" t="s">
        <v>11</v>
      </c>
      <c r="B13" s="7">
        <v>3228701</v>
      </c>
      <c r="C13" s="7">
        <v>645892</v>
      </c>
      <c r="D13" s="7">
        <v>3874593</v>
      </c>
      <c r="E13" s="7">
        <v>3845362</v>
      </c>
      <c r="F13" s="7">
        <v>883446</v>
      </c>
      <c r="G13" s="7">
        <v>4728808</v>
      </c>
      <c r="H13" s="8"/>
      <c r="I13" s="8"/>
      <c r="J13" s="9"/>
    </row>
    <row r="14" spans="1:10" x14ac:dyDescent="0.3">
      <c r="A14" s="10" t="s">
        <v>12</v>
      </c>
      <c r="B14" s="3">
        <v>2485126</v>
      </c>
      <c r="C14" s="3">
        <v>700103</v>
      </c>
      <c r="D14" s="3">
        <v>3185229</v>
      </c>
      <c r="E14" s="3">
        <v>2696068</v>
      </c>
      <c r="F14" s="3">
        <v>839834</v>
      </c>
      <c r="G14" s="3">
        <v>3535902</v>
      </c>
      <c r="H14" s="4"/>
      <c r="I14" s="4"/>
      <c r="J14" s="5"/>
    </row>
    <row r="15" spans="1:10" x14ac:dyDescent="0.3">
      <c r="A15" s="6" t="s">
        <v>13</v>
      </c>
      <c r="B15" s="7">
        <v>856407</v>
      </c>
      <c r="C15" s="7">
        <v>8808</v>
      </c>
      <c r="D15" s="7">
        <v>865215</v>
      </c>
      <c r="E15" s="7">
        <v>1036890</v>
      </c>
      <c r="F15" s="7">
        <v>10504</v>
      </c>
      <c r="G15" s="7">
        <v>1047394</v>
      </c>
      <c r="H15" s="8"/>
      <c r="I15" s="8"/>
      <c r="J15" s="9"/>
    </row>
    <row r="16" spans="1:10" x14ac:dyDescent="0.3">
      <c r="A16" s="10" t="s">
        <v>14</v>
      </c>
      <c r="B16" s="3">
        <v>2019436</v>
      </c>
      <c r="C16" s="3">
        <v>306372</v>
      </c>
      <c r="D16" s="3">
        <v>2325808</v>
      </c>
      <c r="E16" s="3">
        <v>2282944</v>
      </c>
      <c r="F16" s="3">
        <v>344249</v>
      </c>
      <c r="G16" s="3">
        <v>2627193</v>
      </c>
      <c r="H16" s="4"/>
      <c r="I16" s="4"/>
      <c r="J16" s="5"/>
    </row>
    <row r="17" spans="1:10" x14ac:dyDescent="0.3">
      <c r="A17" s="6" t="s">
        <v>15</v>
      </c>
      <c r="B17" s="7">
        <v>182423</v>
      </c>
      <c r="C17" s="7">
        <v>0</v>
      </c>
      <c r="D17" s="7">
        <v>182423</v>
      </c>
      <c r="E17" s="7">
        <v>367383</v>
      </c>
      <c r="F17" s="7">
        <v>1015</v>
      </c>
      <c r="G17" s="7">
        <v>368398</v>
      </c>
      <c r="H17" s="8"/>
      <c r="I17" s="8"/>
      <c r="J17" s="9"/>
    </row>
    <row r="18" spans="1:10" x14ac:dyDescent="0.3">
      <c r="A18" s="10" t="s">
        <v>16</v>
      </c>
      <c r="B18" s="3">
        <v>218931</v>
      </c>
      <c r="C18" s="3">
        <v>3239</v>
      </c>
      <c r="D18" s="3">
        <v>222170</v>
      </c>
      <c r="E18" s="3">
        <v>313337</v>
      </c>
      <c r="F18" s="3">
        <v>4200</v>
      </c>
      <c r="G18" s="3">
        <v>317537</v>
      </c>
      <c r="H18" s="4"/>
      <c r="I18" s="4"/>
      <c r="J18" s="5"/>
    </row>
    <row r="19" spans="1:10" x14ac:dyDescent="0.3">
      <c r="A19" s="6" t="s">
        <v>17</v>
      </c>
      <c r="B19" s="7">
        <v>80065</v>
      </c>
      <c r="C19" s="7">
        <v>13168</v>
      </c>
      <c r="D19" s="7">
        <v>93233</v>
      </c>
      <c r="E19" s="7">
        <v>120078</v>
      </c>
      <c r="F19" s="7">
        <v>10126</v>
      </c>
      <c r="G19" s="7">
        <v>130204</v>
      </c>
      <c r="H19" s="8"/>
      <c r="I19" s="8"/>
      <c r="J19" s="9"/>
    </row>
    <row r="20" spans="1:10" x14ac:dyDescent="0.3">
      <c r="A20" s="10" t="s">
        <v>61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/>
      <c r="I20" s="4"/>
      <c r="J20" s="5"/>
    </row>
    <row r="21" spans="1:10" x14ac:dyDescent="0.3">
      <c r="A21" s="6" t="s">
        <v>18</v>
      </c>
      <c r="B21" s="7">
        <v>208362</v>
      </c>
      <c r="C21" s="7">
        <v>13031</v>
      </c>
      <c r="D21" s="7">
        <v>221393</v>
      </c>
      <c r="E21" s="7">
        <v>231856</v>
      </c>
      <c r="F21" s="7">
        <v>28677</v>
      </c>
      <c r="G21" s="7">
        <v>260533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/>
      <c r="I22" s="4"/>
      <c r="J22" s="5"/>
    </row>
    <row r="23" spans="1:10" x14ac:dyDescent="0.3">
      <c r="A23" s="6" t="s">
        <v>20</v>
      </c>
      <c r="B23" s="7">
        <v>424552</v>
      </c>
      <c r="C23" s="7">
        <v>145</v>
      </c>
      <c r="D23" s="7">
        <v>424697</v>
      </c>
      <c r="E23" s="7">
        <v>547897</v>
      </c>
      <c r="F23" s="7">
        <v>1949</v>
      </c>
      <c r="G23" s="7">
        <v>549846</v>
      </c>
      <c r="H23" s="8"/>
      <c r="I23" s="8"/>
      <c r="J23" s="9"/>
    </row>
    <row r="24" spans="1:10" x14ac:dyDescent="0.3">
      <c r="A24" s="10" t="s">
        <v>21</v>
      </c>
      <c r="B24" s="3">
        <v>133879</v>
      </c>
      <c r="C24" s="3">
        <v>0</v>
      </c>
      <c r="D24" s="3">
        <v>133879</v>
      </c>
      <c r="E24" s="3">
        <v>170333</v>
      </c>
      <c r="F24" s="3">
        <v>186</v>
      </c>
      <c r="G24" s="3">
        <v>170519</v>
      </c>
      <c r="H24" s="4"/>
      <c r="I24" s="4"/>
      <c r="J24" s="5"/>
    </row>
    <row r="25" spans="1:10" x14ac:dyDescent="0.3">
      <c r="A25" s="6" t="s">
        <v>22</v>
      </c>
      <c r="B25" s="7">
        <v>98735</v>
      </c>
      <c r="C25" s="7">
        <v>13729</v>
      </c>
      <c r="D25" s="7">
        <v>112464</v>
      </c>
      <c r="E25" s="7">
        <v>173289</v>
      </c>
      <c r="F25" s="7">
        <v>21621</v>
      </c>
      <c r="G25" s="7">
        <v>194910</v>
      </c>
      <c r="H25" s="8"/>
      <c r="I25" s="8"/>
      <c r="J25" s="9"/>
    </row>
    <row r="26" spans="1:10" x14ac:dyDescent="0.3">
      <c r="A26" s="10" t="s">
        <v>23</v>
      </c>
      <c r="B26" s="3">
        <v>151914</v>
      </c>
      <c r="C26" s="3">
        <v>693</v>
      </c>
      <c r="D26" s="3">
        <v>152607</v>
      </c>
      <c r="E26" s="3">
        <v>169923</v>
      </c>
      <c r="F26" s="3">
        <v>2399</v>
      </c>
      <c r="G26" s="3">
        <v>172322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8"/>
      <c r="I27" s="8"/>
      <c r="J27" s="9"/>
    </row>
    <row r="28" spans="1:10" x14ac:dyDescent="0.3">
      <c r="A28" s="10" t="s">
        <v>25</v>
      </c>
      <c r="B28" s="3">
        <v>341135</v>
      </c>
      <c r="C28" s="3">
        <v>49977</v>
      </c>
      <c r="D28" s="3">
        <v>391112</v>
      </c>
      <c r="E28" s="3">
        <v>389137</v>
      </c>
      <c r="F28" s="3">
        <v>45722</v>
      </c>
      <c r="G28" s="3">
        <v>434859</v>
      </c>
      <c r="H28" s="4"/>
      <c r="I28" s="4"/>
      <c r="J28" s="5"/>
    </row>
    <row r="29" spans="1:10" x14ac:dyDescent="0.3">
      <c r="A29" s="6" t="s">
        <v>26</v>
      </c>
      <c r="B29" s="7">
        <v>1550815</v>
      </c>
      <c r="C29" s="7">
        <v>121562</v>
      </c>
      <c r="D29" s="7">
        <v>1672377</v>
      </c>
      <c r="E29" s="7">
        <v>1907695</v>
      </c>
      <c r="F29" s="7">
        <v>133052</v>
      </c>
      <c r="G29" s="7">
        <v>2040747</v>
      </c>
      <c r="H29" s="8"/>
      <c r="I29" s="8"/>
      <c r="J29" s="9"/>
    </row>
    <row r="30" spans="1:10" x14ac:dyDescent="0.3">
      <c r="A30" s="10" t="s">
        <v>27</v>
      </c>
      <c r="B30" s="3">
        <v>622211</v>
      </c>
      <c r="C30" s="3">
        <v>59813</v>
      </c>
      <c r="D30" s="3">
        <v>682024</v>
      </c>
      <c r="E30" s="3">
        <v>850652</v>
      </c>
      <c r="F30" s="3">
        <v>70037</v>
      </c>
      <c r="G30" s="3">
        <v>920689</v>
      </c>
      <c r="H30" s="4"/>
      <c r="I30" s="4"/>
      <c r="J30" s="5"/>
    </row>
    <row r="31" spans="1:10" x14ac:dyDescent="0.3">
      <c r="A31" s="6" t="s">
        <v>53</v>
      </c>
      <c r="B31" s="7">
        <v>285171</v>
      </c>
      <c r="C31" s="7">
        <v>13887</v>
      </c>
      <c r="D31" s="7">
        <v>299058</v>
      </c>
      <c r="E31" s="7">
        <v>395819</v>
      </c>
      <c r="F31" s="7">
        <v>672</v>
      </c>
      <c r="G31" s="7">
        <v>396491</v>
      </c>
      <c r="H31" s="8"/>
      <c r="I31" s="8"/>
      <c r="J31" s="9"/>
    </row>
    <row r="32" spans="1:10" x14ac:dyDescent="0.3">
      <c r="A32" s="10" t="s">
        <v>62</v>
      </c>
      <c r="B32" s="3">
        <v>456</v>
      </c>
      <c r="C32" s="3">
        <v>108554</v>
      </c>
      <c r="D32" s="3">
        <v>109010</v>
      </c>
      <c r="E32" s="3">
        <v>57</v>
      </c>
      <c r="F32" s="3">
        <v>93105</v>
      </c>
      <c r="G32" s="3">
        <v>93162</v>
      </c>
      <c r="H32" s="4"/>
      <c r="I32" s="4"/>
      <c r="J32" s="5"/>
    </row>
    <row r="33" spans="1:10" x14ac:dyDescent="0.3">
      <c r="A33" s="6" t="s">
        <v>51</v>
      </c>
      <c r="B33" s="7">
        <v>115623</v>
      </c>
      <c r="C33" s="7">
        <v>0</v>
      </c>
      <c r="D33" s="7">
        <v>115623</v>
      </c>
      <c r="E33" s="7">
        <v>159276</v>
      </c>
      <c r="F33" s="7">
        <v>0</v>
      </c>
      <c r="G33" s="7">
        <v>159276</v>
      </c>
      <c r="H33" s="8"/>
      <c r="I33" s="8"/>
      <c r="J33" s="9"/>
    </row>
    <row r="34" spans="1:10" x14ac:dyDescent="0.3">
      <c r="A34" s="10" t="s">
        <v>28</v>
      </c>
      <c r="B34" s="3">
        <v>920407</v>
      </c>
      <c r="C34" s="3">
        <v>137807</v>
      </c>
      <c r="D34" s="3">
        <v>1058214</v>
      </c>
      <c r="E34" s="3">
        <v>170081</v>
      </c>
      <c r="F34" s="3">
        <v>13827</v>
      </c>
      <c r="G34" s="3">
        <v>183908</v>
      </c>
      <c r="H34" s="4"/>
      <c r="I34" s="4"/>
      <c r="J34" s="5"/>
    </row>
    <row r="35" spans="1:10" x14ac:dyDescent="0.3">
      <c r="A35" s="6" t="s">
        <v>50</v>
      </c>
      <c r="B35" s="7">
        <v>208827</v>
      </c>
      <c r="C35" s="7">
        <v>4309</v>
      </c>
      <c r="D35" s="7">
        <v>213136</v>
      </c>
      <c r="E35" s="7">
        <v>352121</v>
      </c>
      <c r="F35" s="7">
        <v>2385</v>
      </c>
      <c r="G35" s="7">
        <v>354506</v>
      </c>
      <c r="H35" s="8"/>
      <c r="I35" s="8"/>
      <c r="J35" s="9"/>
    </row>
    <row r="36" spans="1:10" x14ac:dyDescent="0.3">
      <c r="A36" s="10" t="s">
        <v>29</v>
      </c>
      <c r="B36" s="3">
        <v>45479</v>
      </c>
      <c r="C36" s="3">
        <v>26931</v>
      </c>
      <c r="D36" s="3">
        <v>72410</v>
      </c>
      <c r="E36" s="3">
        <v>55347</v>
      </c>
      <c r="F36" s="3">
        <v>27201</v>
      </c>
      <c r="G36" s="3">
        <v>82548</v>
      </c>
      <c r="H36" s="4"/>
      <c r="I36" s="4"/>
      <c r="J36" s="5"/>
    </row>
    <row r="37" spans="1:10" x14ac:dyDescent="0.3">
      <c r="A37" s="6" t="s">
        <v>30</v>
      </c>
      <c r="B37" s="7">
        <v>175722</v>
      </c>
      <c r="C37" s="7">
        <v>72</v>
      </c>
      <c r="D37" s="7">
        <v>175794</v>
      </c>
      <c r="E37" s="7">
        <v>247826</v>
      </c>
      <c r="F37" s="7">
        <v>438</v>
      </c>
      <c r="G37" s="7">
        <v>248264</v>
      </c>
      <c r="H37" s="8"/>
      <c r="I37" s="8"/>
      <c r="J37" s="9"/>
    </row>
    <row r="38" spans="1:10" x14ac:dyDescent="0.3">
      <c r="A38" s="10" t="s">
        <v>37</v>
      </c>
      <c r="B38" s="3">
        <v>419383</v>
      </c>
      <c r="C38" s="3">
        <v>14771</v>
      </c>
      <c r="D38" s="3">
        <v>434154</v>
      </c>
      <c r="E38" s="3">
        <v>548168</v>
      </c>
      <c r="F38" s="3">
        <v>16152</v>
      </c>
      <c r="G38" s="3">
        <v>564320</v>
      </c>
      <c r="H38" s="4"/>
      <c r="I38" s="4"/>
      <c r="J38" s="5"/>
    </row>
    <row r="39" spans="1:10" x14ac:dyDescent="0.3">
      <c r="A39" s="6" t="s">
        <v>31</v>
      </c>
      <c r="B39" s="7">
        <v>465121</v>
      </c>
      <c r="C39" s="7">
        <v>0</v>
      </c>
      <c r="D39" s="7">
        <v>465121</v>
      </c>
      <c r="E39" s="7">
        <v>544082</v>
      </c>
      <c r="F39" s="7">
        <v>0</v>
      </c>
      <c r="G39" s="7">
        <v>544082</v>
      </c>
      <c r="H39" s="8"/>
      <c r="I39" s="8"/>
      <c r="J39" s="9"/>
    </row>
    <row r="40" spans="1:10" x14ac:dyDescent="0.3">
      <c r="A40" s="10" t="s">
        <v>32</v>
      </c>
      <c r="B40" s="3">
        <v>44010</v>
      </c>
      <c r="C40" s="3">
        <v>295</v>
      </c>
      <c r="D40" s="3">
        <v>44305</v>
      </c>
      <c r="E40" s="3">
        <v>59026</v>
      </c>
      <c r="F40" s="3">
        <v>2269</v>
      </c>
      <c r="G40" s="3">
        <v>61295</v>
      </c>
      <c r="H40" s="4"/>
      <c r="I40" s="4"/>
      <c r="J40" s="5"/>
    </row>
    <row r="41" spans="1:10" x14ac:dyDescent="0.3">
      <c r="A41" s="6" t="s">
        <v>33</v>
      </c>
      <c r="B41" s="7">
        <v>1736480</v>
      </c>
      <c r="C41" s="7">
        <v>548124</v>
      </c>
      <c r="D41" s="7">
        <v>2284604</v>
      </c>
      <c r="E41" s="7">
        <v>1885345</v>
      </c>
      <c r="F41" s="7">
        <v>466307</v>
      </c>
      <c r="G41" s="7">
        <v>2351652</v>
      </c>
      <c r="H41" s="8"/>
      <c r="I41" s="8"/>
      <c r="J41" s="9"/>
    </row>
    <row r="42" spans="1:10" x14ac:dyDescent="0.3">
      <c r="A42" s="10" t="s">
        <v>34</v>
      </c>
      <c r="B42" s="3">
        <v>103</v>
      </c>
      <c r="C42" s="3">
        <v>1664</v>
      </c>
      <c r="D42" s="3">
        <v>1767</v>
      </c>
      <c r="E42" s="3">
        <v>0</v>
      </c>
      <c r="F42" s="3">
        <v>2967</v>
      </c>
      <c r="G42" s="3">
        <v>2967</v>
      </c>
      <c r="H42" s="4"/>
      <c r="I42" s="4"/>
      <c r="J42" s="5"/>
    </row>
    <row r="43" spans="1:10" x14ac:dyDescent="0.3">
      <c r="A43" s="6" t="s">
        <v>35</v>
      </c>
      <c r="B43" s="7">
        <v>643310</v>
      </c>
      <c r="C43" s="7">
        <v>157723</v>
      </c>
      <c r="D43" s="7">
        <v>801033</v>
      </c>
      <c r="E43" s="7">
        <v>735202</v>
      </c>
      <c r="F43" s="7">
        <v>168159</v>
      </c>
      <c r="G43" s="7">
        <v>903361</v>
      </c>
      <c r="H43" s="8"/>
      <c r="I43" s="8"/>
      <c r="J43" s="9"/>
    </row>
    <row r="44" spans="1:10" x14ac:dyDescent="0.3">
      <c r="A44" s="10" t="s">
        <v>36</v>
      </c>
      <c r="B44" s="3">
        <v>649764</v>
      </c>
      <c r="C44" s="3">
        <v>16143</v>
      </c>
      <c r="D44" s="3">
        <v>665907</v>
      </c>
      <c r="E44" s="3">
        <v>727624</v>
      </c>
      <c r="F44" s="3">
        <v>2771</v>
      </c>
      <c r="G44" s="3">
        <v>730395</v>
      </c>
      <c r="H44" s="4"/>
      <c r="I44" s="4"/>
      <c r="J44" s="5"/>
    </row>
    <row r="45" spans="1:10" x14ac:dyDescent="0.3">
      <c r="A45" s="6" t="s">
        <v>54</v>
      </c>
      <c r="B45" s="7">
        <v>599038</v>
      </c>
      <c r="C45" s="7">
        <v>684</v>
      </c>
      <c r="D45" s="7">
        <v>599722</v>
      </c>
      <c r="E45" s="7">
        <v>724044</v>
      </c>
      <c r="F45" s="7">
        <v>4768</v>
      </c>
      <c r="G45" s="7">
        <v>728812</v>
      </c>
      <c r="H45" s="8"/>
      <c r="I45" s="8"/>
      <c r="J45" s="9"/>
    </row>
    <row r="46" spans="1:10" x14ac:dyDescent="0.3">
      <c r="A46" s="10" t="s">
        <v>55</v>
      </c>
      <c r="B46" s="3">
        <v>346899</v>
      </c>
      <c r="C46" s="3">
        <v>567</v>
      </c>
      <c r="D46" s="3">
        <v>347466</v>
      </c>
      <c r="E46" s="3">
        <v>479292</v>
      </c>
      <c r="F46" s="3">
        <v>1223</v>
      </c>
      <c r="G46" s="3">
        <v>480515</v>
      </c>
      <c r="H46" s="4"/>
      <c r="I46" s="4"/>
      <c r="J46" s="5"/>
    </row>
    <row r="47" spans="1:10" x14ac:dyDescent="0.3">
      <c r="A47" s="6" t="s">
        <v>38</v>
      </c>
      <c r="B47" s="7">
        <v>794731</v>
      </c>
      <c r="C47" s="7">
        <v>18639</v>
      </c>
      <c r="D47" s="7">
        <v>813370</v>
      </c>
      <c r="E47" s="7">
        <v>975909</v>
      </c>
      <c r="F47" s="7">
        <v>25620</v>
      </c>
      <c r="G47" s="7">
        <v>1001529</v>
      </c>
      <c r="H47" s="8"/>
      <c r="I47" s="8"/>
      <c r="J47" s="9"/>
    </row>
    <row r="48" spans="1:10" x14ac:dyDescent="0.3">
      <c r="A48" s="10" t="s">
        <v>56</v>
      </c>
      <c r="B48" s="3">
        <v>525807</v>
      </c>
      <c r="C48" s="3">
        <v>1073</v>
      </c>
      <c r="D48" s="3">
        <v>526880</v>
      </c>
      <c r="E48" s="3">
        <v>1016627</v>
      </c>
      <c r="F48" s="3">
        <v>7294</v>
      </c>
      <c r="G48" s="3">
        <v>1023921</v>
      </c>
      <c r="H48" s="4"/>
      <c r="I48" s="4"/>
      <c r="J48" s="5"/>
    </row>
    <row r="49" spans="1:10" x14ac:dyDescent="0.3">
      <c r="A49" s="6" t="s">
        <v>39</v>
      </c>
      <c r="B49" s="7">
        <v>1024011</v>
      </c>
      <c r="C49" s="7">
        <v>180359</v>
      </c>
      <c r="D49" s="7">
        <v>1204370</v>
      </c>
      <c r="E49" s="7">
        <v>1221728</v>
      </c>
      <c r="F49" s="7">
        <v>178401</v>
      </c>
      <c r="G49" s="7">
        <v>1400129</v>
      </c>
      <c r="H49" s="8"/>
      <c r="I49" s="8"/>
      <c r="J49" s="9"/>
    </row>
    <row r="50" spans="1:10" x14ac:dyDescent="0.3">
      <c r="A50" s="10" t="s">
        <v>40</v>
      </c>
      <c r="B50" s="3">
        <v>50918</v>
      </c>
      <c r="C50" s="3">
        <v>0</v>
      </c>
      <c r="D50" s="3">
        <v>50918</v>
      </c>
      <c r="E50" s="3">
        <v>62711</v>
      </c>
      <c r="F50" s="3">
        <v>0</v>
      </c>
      <c r="G50" s="3">
        <v>62711</v>
      </c>
      <c r="H50" s="4"/>
      <c r="I50" s="4"/>
      <c r="J50" s="5"/>
    </row>
    <row r="51" spans="1:10" x14ac:dyDescent="0.3">
      <c r="A51" s="6" t="s">
        <v>41</v>
      </c>
      <c r="B51" s="7">
        <v>70246</v>
      </c>
      <c r="C51" s="7">
        <v>0</v>
      </c>
      <c r="D51" s="7">
        <v>70246</v>
      </c>
      <c r="E51" s="7">
        <v>94697</v>
      </c>
      <c r="F51" s="7">
        <v>314</v>
      </c>
      <c r="G51" s="7">
        <v>95011</v>
      </c>
      <c r="H51" s="8"/>
      <c r="I51" s="8"/>
      <c r="J51" s="9"/>
    </row>
    <row r="52" spans="1:10" x14ac:dyDescent="0.3">
      <c r="A52" s="10" t="s">
        <v>42</v>
      </c>
      <c r="B52" s="3">
        <v>364711</v>
      </c>
      <c r="C52" s="3">
        <v>2326</v>
      </c>
      <c r="D52" s="3">
        <v>367037</v>
      </c>
      <c r="E52" s="3">
        <v>422875</v>
      </c>
      <c r="F52" s="3">
        <v>4733</v>
      </c>
      <c r="G52" s="3">
        <v>427608</v>
      </c>
      <c r="H52" s="4"/>
      <c r="I52" s="4"/>
      <c r="J52" s="5"/>
    </row>
    <row r="53" spans="1:10" x14ac:dyDescent="0.3">
      <c r="A53" s="6" t="s">
        <v>57</v>
      </c>
      <c r="B53" s="7">
        <v>635945</v>
      </c>
      <c r="C53" s="7">
        <v>5635</v>
      </c>
      <c r="D53" s="7">
        <v>641580</v>
      </c>
      <c r="E53" s="7">
        <v>793535</v>
      </c>
      <c r="F53" s="7">
        <v>20943</v>
      </c>
      <c r="G53" s="7">
        <v>814478</v>
      </c>
      <c r="H53" s="8"/>
      <c r="I53" s="8"/>
      <c r="J53" s="9"/>
    </row>
    <row r="54" spans="1:10" x14ac:dyDescent="0.3">
      <c r="A54" s="10" t="s">
        <v>43</v>
      </c>
      <c r="B54" s="3">
        <v>282798</v>
      </c>
      <c r="C54" s="3">
        <v>0</v>
      </c>
      <c r="D54" s="3">
        <v>282798</v>
      </c>
      <c r="E54" s="3">
        <v>401663</v>
      </c>
      <c r="F54" s="3">
        <v>0</v>
      </c>
      <c r="G54" s="3">
        <v>401663</v>
      </c>
      <c r="H54" s="4"/>
      <c r="I54" s="4"/>
      <c r="J54" s="5"/>
    </row>
    <row r="55" spans="1:10" x14ac:dyDescent="0.3">
      <c r="A55" s="6" t="s">
        <v>52</v>
      </c>
      <c r="B55" s="7">
        <v>28250</v>
      </c>
      <c r="C55" s="7">
        <v>15955</v>
      </c>
      <c r="D55" s="7">
        <v>44205</v>
      </c>
      <c r="E55" s="7">
        <v>32068</v>
      </c>
      <c r="F55" s="7">
        <v>1640</v>
      </c>
      <c r="G55" s="7">
        <v>33708</v>
      </c>
      <c r="H55" s="8"/>
      <c r="I55" s="8"/>
      <c r="J55" s="9"/>
    </row>
    <row r="56" spans="1:10" x14ac:dyDescent="0.3">
      <c r="A56" s="10" t="s">
        <v>44</v>
      </c>
      <c r="B56" s="3">
        <v>87585</v>
      </c>
      <c r="C56" s="3">
        <v>860</v>
      </c>
      <c r="D56" s="3">
        <v>88445</v>
      </c>
      <c r="E56" s="3">
        <v>146734</v>
      </c>
      <c r="F56" s="3">
        <v>3068</v>
      </c>
      <c r="G56" s="3">
        <v>149802</v>
      </c>
      <c r="H56" s="4"/>
      <c r="I56" s="4"/>
      <c r="J56" s="5"/>
    </row>
    <row r="57" spans="1:10" x14ac:dyDescent="0.3">
      <c r="A57" s="6" t="s">
        <v>45</v>
      </c>
      <c r="B57" s="7">
        <v>0</v>
      </c>
      <c r="C57" s="7">
        <v>0</v>
      </c>
      <c r="D57" s="7">
        <v>0</v>
      </c>
      <c r="E57" s="7">
        <v>30</v>
      </c>
      <c r="F57" s="7">
        <v>26</v>
      </c>
      <c r="G57" s="7">
        <v>56</v>
      </c>
      <c r="H57" s="8"/>
      <c r="I57" s="8"/>
      <c r="J57" s="9"/>
    </row>
    <row r="58" spans="1:10" x14ac:dyDescent="0.3">
      <c r="A58" s="10" t="s">
        <v>46</v>
      </c>
      <c r="B58" s="3">
        <v>1309157</v>
      </c>
      <c r="C58" s="3">
        <v>1857</v>
      </c>
      <c r="D58" s="3">
        <v>1311014</v>
      </c>
      <c r="E58" s="3">
        <v>1546609</v>
      </c>
      <c r="F58" s="3">
        <v>3062</v>
      </c>
      <c r="G58" s="3">
        <v>1549671</v>
      </c>
      <c r="H58" s="4"/>
      <c r="I58" s="4"/>
      <c r="J58" s="5"/>
    </row>
    <row r="59" spans="1:10" x14ac:dyDescent="0.3">
      <c r="A59" s="6" t="s">
        <v>63</v>
      </c>
      <c r="B59" s="7">
        <v>28723</v>
      </c>
      <c r="C59" s="7">
        <v>28374</v>
      </c>
      <c r="D59" s="7">
        <v>57097</v>
      </c>
      <c r="E59" s="7">
        <v>36986</v>
      </c>
      <c r="F59" s="7">
        <v>48776</v>
      </c>
      <c r="G59" s="7">
        <v>85762</v>
      </c>
      <c r="H59" s="8"/>
      <c r="I59" s="8"/>
      <c r="J59" s="9"/>
    </row>
    <row r="60" spans="1:10" x14ac:dyDescent="0.3">
      <c r="A60" s="10" t="s">
        <v>64</v>
      </c>
      <c r="B60" s="3">
        <v>15482</v>
      </c>
      <c r="C60" s="3">
        <v>94288</v>
      </c>
      <c r="D60" s="3">
        <v>109770</v>
      </c>
      <c r="E60" s="3">
        <v>27028</v>
      </c>
      <c r="F60" s="3">
        <v>101442</v>
      </c>
      <c r="G60" s="3">
        <v>128470</v>
      </c>
      <c r="H60" s="4"/>
      <c r="I60" s="4"/>
      <c r="J60" s="5"/>
    </row>
    <row r="61" spans="1:10" x14ac:dyDescent="0.3">
      <c r="A61" s="11"/>
      <c r="B61" s="12"/>
      <c r="C61" s="12"/>
      <c r="D61" s="12"/>
      <c r="E61" s="12"/>
      <c r="F61" s="12"/>
      <c r="G61" s="12"/>
      <c r="H61" s="13"/>
      <c r="I61" s="13"/>
      <c r="J61" s="13"/>
    </row>
    <row r="62" spans="1:10" x14ac:dyDescent="0.3">
      <c r="A62" s="14"/>
      <c r="B62" s="15"/>
      <c r="C62" s="15"/>
      <c r="D62" s="15"/>
      <c r="E62" s="15"/>
      <c r="F62" s="15"/>
      <c r="G62" s="15"/>
      <c r="H62" s="16"/>
      <c r="I62" s="16"/>
      <c r="J62" s="16"/>
    </row>
    <row r="63" spans="1:10" x14ac:dyDescent="0.3">
      <c r="A63" s="11"/>
      <c r="B63" s="12"/>
      <c r="C63" s="12"/>
      <c r="D63" s="12"/>
      <c r="E63" s="12"/>
      <c r="F63" s="12"/>
      <c r="G63" s="12"/>
      <c r="H63" s="13"/>
      <c r="I63" s="13"/>
      <c r="J63" s="13"/>
    </row>
    <row r="64" spans="1:10" x14ac:dyDescent="0.3">
      <c r="A64" s="11"/>
      <c r="B64" s="12"/>
      <c r="C64" s="12"/>
      <c r="D64" s="32"/>
      <c r="E64" s="12"/>
      <c r="F64" s="12"/>
      <c r="G64" s="12"/>
      <c r="H64" s="13"/>
      <c r="I64" s="13"/>
      <c r="J64" s="13"/>
    </row>
    <row r="65" spans="1:10" ht="15" thickBot="1" x14ac:dyDescent="0.35">
      <c r="A65" s="18"/>
      <c r="B65" s="19"/>
      <c r="C65" s="19"/>
      <c r="D65" s="19"/>
      <c r="E65" s="19"/>
      <c r="F65" s="19"/>
      <c r="G65" s="19"/>
      <c r="H65" s="70"/>
      <c r="I65" s="70"/>
      <c r="J65" s="71"/>
    </row>
    <row r="66" spans="1:10" ht="15" thickBot="1" x14ac:dyDescent="0.35">
      <c r="A66" s="20"/>
      <c r="B66" s="33"/>
      <c r="C66" s="33"/>
      <c r="D66" s="33"/>
      <c r="E66" s="21"/>
      <c r="F66" s="21"/>
      <c r="G66" s="21"/>
      <c r="H66" s="74"/>
      <c r="I66" s="74"/>
      <c r="J66" s="75"/>
    </row>
    <row r="67" spans="1:10" ht="49.5" customHeight="1" x14ac:dyDescent="0.3">
      <c r="A67" s="61"/>
      <c r="B67" s="61"/>
      <c r="C67" s="61"/>
      <c r="D67" s="61"/>
      <c r="E67" s="61"/>
      <c r="F67" s="61"/>
      <c r="G67" s="61"/>
      <c r="H67" s="61"/>
      <c r="I67" s="61"/>
      <c r="J67" s="61"/>
    </row>
    <row r="68" spans="1:10" x14ac:dyDescent="0.3">
      <c r="A68" s="39"/>
    </row>
  </sheetData>
  <mergeCells count="8">
    <mergeCell ref="H66:J66"/>
    <mergeCell ref="A67:J67"/>
    <mergeCell ref="A1:J1"/>
    <mergeCell ref="A2:A3"/>
    <mergeCell ref="B2:D2"/>
    <mergeCell ref="E2:G2"/>
    <mergeCell ref="H2:J2"/>
    <mergeCell ref="H65:J65"/>
  </mergeCells>
  <conditionalFormatting sqref="B4:J60">
    <cfRule type="cellIs" dxfId="3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67"/>
  <sheetViews>
    <sheetView topLeftCell="A38" zoomScale="75" zoomScaleNormal="75" workbookViewId="0">
      <selection activeCell="M50" sqref="M50"/>
    </sheetView>
  </sheetViews>
  <sheetFormatPr defaultRowHeight="14.4" x14ac:dyDescent="0.3"/>
  <cols>
    <col min="1" max="1" width="34" bestFit="1" customWidth="1"/>
    <col min="2" max="10" width="14.33203125" customWidth="1"/>
  </cols>
  <sheetData>
    <row r="1" spans="1:10" ht="24.75" customHeight="1" x14ac:dyDescent="0.3">
      <c r="A1" s="62" t="s">
        <v>48</v>
      </c>
      <c r="B1" s="63"/>
      <c r="C1" s="63"/>
      <c r="D1" s="63"/>
      <c r="E1" s="63"/>
      <c r="F1" s="63"/>
      <c r="G1" s="63"/>
      <c r="H1" s="63"/>
      <c r="I1" s="63"/>
      <c r="J1" s="64"/>
    </row>
    <row r="2" spans="1:10" ht="27" customHeight="1" x14ac:dyDescent="0.3">
      <c r="A2" s="76" t="s">
        <v>1</v>
      </c>
      <c r="B2" s="67" t="s">
        <v>66</v>
      </c>
      <c r="C2" s="67"/>
      <c r="D2" s="67"/>
      <c r="E2" s="67" t="s">
        <v>67</v>
      </c>
      <c r="F2" s="67"/>
      <c r="G2" s="67"/>
      <c r="H2" s="68"/>
      <c r="I2" s="68"/>
      <c r="J2" s="69"/>
    </row>
    <row r="3" spans="1:10" x14ac:dyDescent="0.3">
      <c r="A3" s="77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3</v>
      </c>
      <c r="C4" s="3">
        <v>1319</v>
      </c>
      <c r="D4" s="3">
        <v>1322</v>
      </c>
      <c r="E4" s="3">
        <v>0</v>
      </c>
      <c r="F4" s="3">
        <v>0</v>
      </c>
      <c r="G4" s="3">
        <v>0</v>
      </c>
      <c r="H4" s="4"/>
      <c r="I4" s="4"/>
      <c r="J4" s="5"/>
    </row>
    <row r="5" spans="1:10" x14ac:dyDescent="0.3">
      <c r="A5" s="6" t="s">
        <v>58</v>
      </c>
      <c r="B5" s="7">
        <v>106949</v>
      </c>
      <c r="C5" s="7">
        <v>308651</v>
      </c>
      <c r="D5" s="7">
        <v>415600</v>
      </c>
      <c r="E5" s="7">
        <v>119504</v>
      </c>
      <c r="F5" s="7">
        <v>370170</v>
      </c>
      <c r="G5" s="7">
        <v>489674</v>
      </c>
      <c r="H5" s="8"/>
      <c r="I5" s="8"/>
      <c r="J5" s="9"/>
    </row>
    <row r="6" spans="1:10" x14ac:dyDescent="0.3">
      <c r="A6" s="10" t="s">
        <v>59</v>
      </c>
      <c r="B6" s="3">
        <v>94528</v>
      </c>
      <c r="C6" s="3">
        <v>100683</v>
      </c>
      <c r="D6" s="3">
        <v>195211</v>
      </c>
      <c r="E6" s="3">
        <v>102833</v>
      </c>
      <c r="F6" s="3">
        <v>118244</v>
      </c>
      <c r="G6" s="3">
        <v>221077</v>
      </c>
      <c r="H6" s="4"/>
      <c r="I6" s="4"/>
      <c r="J6" s="5"/>
    </row>
    <row r="7" spans="1:10" x14ac:dyDescent="0.3">
      <c r="A7" s="6" t="s">
        <v>6</v>
      </c>
      <c r="B7" s="7">
        <v>45734</v>
      </c>
      <c r="C7" s="7">
        <v>14716</v>
      </c>
      <c r="D7" s="7">
        <v>60450</v>
      </c>
      <c r="E7" s="7">
        <v>59699</v>
      </c>
      <c r="F7" s="7">
        <v>20457</v>
      </c>
      <c r="G7" s="7">
        <v>80156</v>
      </c>
      <c r="H7" s="8"/>
      <c r="I7" s="8"/>
      <c r="J7" s="9"/>
    </row>
    <row r="8" spans="1:10" x14ac:dyDescent="0.3">
      <c r="A8" s="10" t="s">
        <v>7</v>
      </c>
      <c r="B8" s="3">
        <v>36583</v>
      </c>
      <c r="C8" s="3">
        <v>25731</v>
      </c>
      <c r="D8" s="3">
        <v>62314</v>
      </c>
      <c r="E8" s="3">
        <v>38186</v>
      </c>
      <c r="F8" s="3">
        <v>27658</v>
      </c>
      <c r="G8" s="3">
        <v>65844</v>
      </c>
      <c r="H8" s="4"/>
      <c r="I8" s="4"/>
      <c r="J8" s="5"/>
    </row>
    <row r="9" spans="1:10" x14ac:dyDescent="0.3">
      <c r="A9" s="6" t="s">
        <v>8</v>
      </c>
      <c r="B9" s="7">
        <v>34670</v>
      </c>
      <c r="C9" s="7">
        <v>150216</v>
      </c>
      <c r="D9" s="7">
        <v>184886</v>
      </c>
      <c r="E9" s="7">
        <v>37602</v>
      </c>
      <c r="F9" s="7">
        <v>175372</v>
      </c>
      <c r="G9" s="7">
        <v>212974</v>
      </c>
      <c r="H9" s="8"/>
      <c r="I9" s="8"/>
      <c r="J9" s="9"/>
    </row>
    <row r="10" spans="1:10" x14ac:dyDescent="0.3">
      <c r="A10" s="10" t="s">
        <v>60</v>
      </c>
      <c r="B10" s="3">
        <v>2987</v>
      </c>
      <c r="C10" s="3">
        <v>1992</v>
      </c>
      <c r="D10" s="3">
        <v>4979</v>
      </c>
      <c r="E10" s="3">
        <v>3459</v>
      </c>
      <c r="F10" s="3">
        <v>2664</v>
      </c>
      <c r="G10" s="3">
        <v>6123</v>
      </c>
      <c r="H10" s="4"/>
      <c r="I10" s="4"/>
      <c r="J10" s="5"/>
    </row>
    <row r="11" spans="1:10" x14ac:dyDescent="0.3">
      <c r="A11" s="6" t="s">
        <v>9</v>
      </c>
      <c r="B11" s="7">
        <v>9725</v>
      </c>
      <c r="C11" s="7">
        <v>18459</v>
      </c>
      <c r="D11" s="7">
        <v>28184</v>
      </c>
      <c r="E11" s="7">
        <v>11592</v>
      </c>
      <c r="F11" s="7">
        <v>20557</v>
      </c>
      <c r="G11" s="7">
        <v>32149</v>
      </c>
      <c r="H11" s="8"/>
      <c r="I11" s="8"/>
      <c r="J11" s="9"/>
    </row>
    <row r="12" spans="1:10" x14ac:dyDescent="0.3">
      <c r="A12" s="10" t="s">
        <v>10</v>
      </c>
      <c r="B12" s="3">
        <v>12586</v>
      </c>
      <c r="C12" s="3">
        <v>12265</v>
      </c>
      <c r="D12" s="3">
        <v>24851</v>
      </c>
      <c r="E12" s="3">
        <v>13991</v>
      </c>
      <c r="F12" s="3">
        <v>11568</v>
      </c>
      <c r="G12" s="3">
        <v>25559</v>
      </c>
      <c r="H12" s="4"/>
      <c r="I12" s="4"/>
      <c r="J12" s="5"/>
    </row>
    <row r="13" spans="1:10" x14ac:dyDescent="0.3">
      <c r="A13" s="6" t="s">
        <v>11</v>
      </c>
      <c r="B13" s="7">
        <v>20126</v>
      </c>
      <c r="C13" s="7">
        <v>6966</v>
      </c>
      <c r="D13" s="7">
        <v>27092</v>
      </c>
      <c r="E13" s="7">
        <v>23349</v>
      </c>
      <c r="F13" s="7">
        <v>7287</v>
      </c>
      <c r="G13" s="7">
        <v>30636</v>
      </c>
      <c r="H13" s="8"/>
      <c r="I13" s="8"/>
      <c r="J13" s="9"/>
    </row>
    <row r="14" spans="1:10" x14ac:dyDescent="0.3">
      <c r="A14" s="10" t="s">
        <v>12</v>
      </c>
      <c r="B14" s="3">
        <v>15880</v>
      </c>
      <c r="C14" s="3">
        <v>5383</v>
      </c>
      <c r="D14" s="3">
        <v>21263</v>
      </c>
      <c r="E14" s="3">
        <v>18092</v>
      </c>
      <c r="F14" s="3">
        <v>6606</v>
      </c>
      <c r="G14" s="3">
        <v>24698</v>
      </c>
      <c r="H14" s="4"/>
      <c r="I14" s="4"/>
      <c r="J14" s="5"/>
    </row>
    <row r="15" spans="1:10" x14ac:dyDescent="0.3">
      <c r="A15" s="6" t="s">
        <v>13</v>
      </c>
      <c r="B15" s="7">
        <v>5443</v>
      </c>
      <c r="C15" s="7">
        <v>57</v>
      </c>
      <c r="D15" s="7">
        <v>5500</v>
      </c>
      <c r="E15" s="7">
        <v>6399</v>
      </c>
      <c r="F15" s="7">
        <v>73</v>
      </c>
      <c r="G15" s="7">
        <v>6472</v>
      </c>
      <c r="H15" s="8"/>
      <c r="I15" s="8"/>
      <c r="J15" s="9"/>
    </row>
    <row r="16" spans="1:10" x14ac:dyDescent="0.3">
      <c r="A16" s="10" t="s">
        <v>14</v>
      </c>
      <c r="B16" s="3">
        <v>12905</v>
      </c>
      <c r="C16" s="3">
        <v>2237</v>
      </c>
      <c r="D16" s="3">
        <v>15142</v>
      </c>
      <c r="E16" s="3">
        <v>14051</v>
      </c>
      <c r="F16" s="3">
        <v>2173</v>
      </c>
      <c r="G16" s="3">
        <v>16224</v>
      </c>
      <c r="H16" s="4"/>
      <c r="I16" s="4"/>
      <c r="J16" s="5"/>
    </row>
    <row r="17" spans="1:10" x14ac:dyDescent="0.3">
      <c r="A17" s="6" t="s">
        <v>15</v>
      </c>
      <c r="B17" s="7">
        <v>1266</v>
      </c>
      <c r="C17" s="7">
        <v>0</v>
      </c>
      <c r="D17" s="7">
        <v>1266</v>
      </c>
      <c r="E17" s="7">
        <v>2245</v>
      </c>
      <c r="F17" s="7">
        <v>7</v>
      </c>
      <c r="G17" s="7">
        <v>2252</v>
      </c>
      <c r="H17" s="8"/>
      <c r="I17" s="8"/>
      <c r="J17" s="9"/>
    </row>
    <row r="18" spans="1:10" x14ac:dyDescent="0.3">
      <c r="A18" s="10" t="s">
        <v>16</v>
      </c>
      <c r="B18" s="3">
        <v>1374</v>
      </c>
      <c r="C18" s="3">
        <v>18</v>
      </c>
      <c r="D18" s="3">
        <v>1392</v>
      </c>
      <c r="E18" s="3">
        <v>1959</v>
      </c>
      <c r="F18" s="3">
        <v>22</v>
      </c>
      <c r="G18" s="3">
        <v>1981</v>
      </c>
      <c r="H18" s="4"/>
      <c r="I18" s="4"/>
      <c r="J18" s="5"/>
    </row>
    <row r="19" spans="1:10" x14ac:dyDescent="0.3">
      <c r="A19" s="6" t="s">
        <v>17</v>
      </c>
      <c r="B19" s="7">
        <v>639</v>
      </c>
      <c r="C19" s="7">
        <v>79</v>
      </c>
      <c r="D19" s="7">
        <v>718</v>
      </c>
      <c r="E19" s="7">
        <v>900</v>
      </c>
      <c r="F19" s="7">
        <v>59</v>
      </c>
      <c r="G19" s="7">
        <v>959</v>
      </c>
      <c r="H19" s="8"/>
      <c r="I19" s="8"/>
      <c r="J19" s="9"/>
    </row>
    <row r="20" spans="1:10" x14ac:dyDescent="0.3">
      <c r="A20" s="10" t="s">
        <v>61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/>
      <c r="I20" s="4"/>
      <c r="J20" s="5"/>
    </row>
    <row r="21" spans="1:10" x14ac:dyDescent="0.3">
      <c r="A21" s="6" t="s">
        <v>18</v>
      </c>
      <c r="B21" s="7">
        <v>1676</v>
      </c>
      <c r="C21" s="7">
        <v>85</v>
      </c>
      <c r="D21" s="7">
        <v>1761</v>
      </c>
      <c r="E21" s="7">
        <v>1765</v>
      </c>
      <c r="F21" s="7">
        <v>180</v>
      </c>
      <c r="G21" s="7">
        <v>1945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/>
      <c r="I22" s="4"/>
      <c r="J22" s="5"/>
    </row>
    <row r="23" spans="1:10" x14ac:dyDescent="0.3">
      <c r="A23" s="6" t="s">
        <v>20</v>
      </c>
      <c r="B23" s="7">
        <v>2608</v>
      </c>
      <c r="C23" s="7">
        <v>1</v>
      </c>
      <c r="D23" s="7">
        <v>2609</v>
      </c>
      <c r="E23" s="7">
        <v>3247</v>
      </c>
      <c r="F23" s="7">
        <v>13</v>
      </c>
      <c r="G23" s="7">
        <v>3260</v>
      </c>
      <c r="H23" s="8"/>
      <c r="I23" s="8"/>
      <c r="J23" s="9"/>
    </row>
    <row r="24" spans="1:10" x14ac:dyDescent="0.3">
      <c r="A24" s="10" t="s">
        <v>21</v>
      </c>
      <c r="B24" s="3">
        <v>991</v>
      </c>
      <c r="C24" s="3">
        <v>0</v>
      </c>
      <c r="D24" s="3">
        <v>991</v>
      </c>
      <c r="E24" s="3">
        <v>1289</v>
      </c>
      <c r="F24" s="3">
        <v>1</v>
      </c>
      <c r="G24" s="3">
        <v>1290</v>
      </c>
      <c r="H24" s="4"/>
      <c r="I24" s="4"/>
      <c r="J24" s="5"/>
    </row>
    <row r="25" spans="1:10" x14ac:dyDescent="0.3">
      <c r="A25" s="6" t="s">
        <v>22</v>
      </c>
      <c r="B25" s="7">
        <v>626</v>
      </c>
      <c r="C25" s="7">
        <v>99</v>
      </c>
      <c r="D25" s="7">
        <v>725</v>
      </c>
      <c r="E25" s="7">
        <v>1040</v>
      </c>
      <c r="F25" s="7">
        <v>133</v>
      </c>
      <c r="G25" s="7">
        <v>1173</v>
      </c>
      <c r="H25" s="8"/>
      <c r="I25" s="8"/>
      <c r="J25" s="9"/>
    </row>
    <row r="26" spans="1:10" x14ac:dyDescent="0.3">
      <c r="A26" s="10" t="s">
        <v>23</v>
      </c>
      <c r="B26" s="3">
        <v>1014</v>
      </c>
      <c r="C26" s="3">
        <v>6</v>
      </c>
      <c r="D26" s="3">
        <v>1020</v>
      </c>
      <c r="E26" s="3">
        <v>1074</v>
      </c>
      <c r="F26" s="3">
        <v>14</v>
      </c>
      <c r="G26" s="3">
        <v>1088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8"/>
      <c r="I27" s="8"/>
      <c r="J27" s="9"/>
    </row>
    <row r="28" spans="1:10" x14ac:dyDescent="0.3">
      <c r="A28" s="10" t="s">
        <v>25</v>
      </c>
      <c r="B28" s="3">
        <v>2692</v>
      </c>
      <c r="C28" s="3">
        <v>259</v>
      </c>
      <c r="D28" s="3">
        <v>2951</v>
      </c>
      <c r="E28" s="3">
        <v>2834</v>
      </c>
      <c r="F28" s="3">
        <v>277</v>
      </c>
      <c r="G28" s="3">
        <v>3111</v>
      </c>
      <c r="H28" s="4"/>
      <c r="I28" s="4"/>
      <c r="J28" s="5"/>
    </row>
    <row r="29" spans="1:10" x14ac:dyDescent="0.3">
      <c r="A29" s="6" t="s">
        <v>26</v>
      </c>
      <c r="B29" s="7">
        <v>9223</v>
      </c>
      <c r="C29" s="7">
        <v>836</v>
      </c>
      <c r="D29" s="7">
        <v>10059</v>
      </c>
      <c r="E29" s="7">
        <v>11205</v>
      </c>
      <c r="F29" s="7">
        <v>852</v>
      </c>
      <c r="G29" s="7">
        <v>12057</v>
      </c>
      <c r="H29" s="8"/>
      <c r="I29" s="8"/>
      <c r="J29" s="9"/>
    </row>
    <row r="30" spans="1:10" x14ac:dyDescent="0.3">
      <c r="A30" s="10" t="s">
        <v>27</v>
      </c>
      <c r="B30" s="3">
        <v>3989</v>
      </c>
      <c r="C30" s="3">
        <v>426</v>
      </c>
      <c r="D30" s="3">
        <v>4415</v>
      </c>
      <c r="E30" s="3">
        <v>5014</v>
      </c>
      <c r="F30" s="3">
        <v>460</v>
      </c>
      <c r="G30" s="3">
        <v>5474</v>
      </c>
      <c r="H30" s="4"/>
      <c r="I30" s="4"/>
      <c r="J30" s="5"/>
    </row>
    <row r="31" spans="1:10" x14ac:dyDescent="0.3">
      <c r="A31" s="6" t="s">
        <v>53</v>
      </c>
      <c r="B31" s="7">
        <v>2013</v>
      </c>
      <c r="C31" s="7">
        <v>84</v>
      </c>
      <c r="D31" s="7">
        <v>2097</v>
      </c>
      <c r="E31" s="7">
        <v>2661</v>
      </c>
      <c r="F31" s="7">
        <v>4</v>
      </c>
      <c r="G31" s="7">
        <v>2665</v>
      </c>
      <c r="H31" s="8"/>
      <c r="I31" s="8"/>
      <c r="J31" s="9"/>
    </row>
    <row r="32" spans="1:10" x14ac:dyDescent="0.3">
      <c r="A32" s="10" t="s">
        <v>62</v>
      </c>
      <c r="B32" s="3">
        <v>6</v>
      </c>
      <c r="C32" s="3">
        <v>791</v>
      </c>
      <c r="D32" s="3">
        <v>797</v>
      </c>
      <c r="E32" s="3">
        <v>1</v>
      </c>
      <c r="F32" s="3">
        <v>603</v>
      </c>
      <c r="G32" s="3">
        <v>604</v>
      </c>
      <c r="H32" s="4"/>
      <c r="I32" s="4"/>
      <c r="J32" s="5"/>
    </row>
    <row r="33" spans="1:10" x14ac:dyDescent="0.3">
      <c r="A33" s="6" t="s">
        <v>51</v>
      </c>
      <c r="B33" s="7">
        <v>835</v>
      </c>
      <c r="C33" s="7">
        <v>0</v>
      </c>
      <c r="D33" s="7">
        <v>835</v>
      </c>
      <c r="E33" s="7">
        <v>1124</v>
      </c>
      <c r="F33" s="7">
        <v>0</v>
      </c>
      <c r="G33" s="7">
        <v>1124</v>
      </c>
      <c r="H33" s="8"/>
      <c r="I33" s="8"/>
      <c r="J33" s="9"/>
    </row>
    <row r="34" spans="1:10" x14ac:dyDescent="0.3">
      <c r="A34" s="10" t="s">
        <v>28</v>
      </c>
      <c r="B34" s="3">
        <v>6018</v>
      </c>
      <c r="C34" s="3">
        <v>1126</v>
      </c>
      <c r="D34" s="3">
        <v>7144</v>
      </c>
      <c r="E34" s="3">
        <v>1153</v>
      </c>
      <c r="F34" s="3">
        <v>113</v>
      </c>
      <c r="G34" s="3">
        <v>1266</v>
      </c>
      <c r="H34" s="4"/>
      <c r="I34" s="4"/>
      <c r="J34" s="5"/>
    </row>
    <row r="35" spans="1:10" x14ac:dyDescent="0.3">
      <c r="A35" s="6" t="s">
        <v>50</v>
      </c>
      <c r="B35" s="7">
        <v>1342</v>
      </c>
      <c r="C35" s="7">
        <v>24</v>
      </c>
      <c r="D35" s="7">
        <v>1366</v>
      </c>
      <c r="E35" s="7">
        <v>2262</v>
      </c>
      <c r="F35" s="7">
        <v>14</v>
      </c>
      <c r="G35" s="7">
        <v>2276</v>
      </c>
      <c r="H35" s="8"/>
      <c r="I35" s="8"/>
      <c r="J35" s="9"/>
    </row>
    <row r="36" spans="1:10" x14ac:dyDescent="0.3">
      <c r="A36" s="10" t="s">
        <v>29</v>
      </c>
      <c r="B36" s="3">
        <v>411</v>
      </c>
      <c r="C36" s="3">
        <v>131</v>
      </c>
      <c r="D36" s="3">
        <v>542</v>
      </c>
      <c r="E36" s="3">
        <v>501</v>
      </c>
      <c r="F36" s="3">
        <v>222</v>
      </c>
      <c r="G36" s="3">
        <v>723</v>
      </c>
      <c r="H36" s="4"/>
      <c r="I36" s="4"/>
      <c r="J36" s="5"/>
    </row>
    <row r="37" spans="1:10" x14ac:dyDescent="0.3">
      <c r="A37" s="6" t="s">
        <v>30</v>
      </c>
      <c r="B37" s="7">
        <v>1345</v>
      </c>
      <c r="C37" s="7">
        <v>1</v>
      </c>
      <c r="D37" s="7">
        <v>1346</v>
      </c>
      <c r="E37" s="7">
        <v>1841</v>
      </c>
      <c r="F37" s="7">
        <v>4</v>
      </c>
      <c r="G37" s="7">
        <v>1845</v>
      </c>
      <c r="H37" s="8"/>
      <c r="I37" s="8"/>
      <c r="J37" s="9"/>
    </row>
    <row r="38" spans="1:10" x14ac:dyDescent="0.3">
      <c r="A38" s="10" t="s">
        <v>37</v>
      </c>
      <c r="B38" s="3">
        <v>2737</v>
      </c>
      <c r="C38" s="3">
        <v>132</v>
      </c>
      <c r="D38" s="3">
        <v>2869</v>
      </c>
      <c r="E38" s="3">
        <v>3360</v>
      </c>
      <c r="F38" s="3">
        <v>127</v>
      </c>
      <c r="G38" s="3">
        <v>3487</v>
      </c>
      <c r="H38" s="4"/>
      <c r="I38" s="4"/>
      <c r="J38" s="5"/>
    </row>
    <row r="39" spans="1:10" x14ac:dyDescent="0.3">
      <c r="A39" s="6" t="s">
        <v>31</v>
      </c>
      <c r="B39" s="7">
        <v>2862</v>
      </c>
      <c r="C39" s="7">
        <v>0</v>
      </c>
      <c r="D39" s="7">
        <v>2862</v>
      </c>
      <c r="E39" s="7">
        <v>3292</v>
      </c>
      <c r="F39" s="7">
        <v>0</v>
      </c>
      <c r="G39" s="7">
        <v>3292</v>
      </c>
      <c r="H39" s="8"/>
      <c r="I39" s="8"/>
      <c r="J39" s="9"/>
    </row>
    <row r="40" spans="1:10" x14ac:dyDescent="0.3">
      <c r="A40" s="10" t="s">
        <v>32</v>
      </c>
      <c r="B40" s="3">
        <v>493</v>
      </c>
      <c r="C40" s="3">
        <v>3</v>
      </c>
      <c r="D40" s="3">
        <v>496</v>
      </c>
      <c r="E40" s="3">
        <v>585</v>
      </c>
      <c r="F40" s="3">
        <v>14</v>
      </c>
      <c r="G40" s="3">
        <v>599</v>
      </c>
      <c r="H40" s="4"/>
      <c r="I40" s="4"/>
      <c r="J40" s="5"/>
    </row>
    <row r="41" spans="1:10" x14ac:dyDescent="0.3">
      <c r="A41" s="6" t="s">
        <v>33</v>
      </c>
      <c r="B41" s="7">
        <v>11283</v>
      </c>
      <c r="C41" s="7">
        <v>4369</v>
      </c>
      <c r="D41" s="7">
        <v>15652</v>
      </c>
      <c r="E41" s="7">
        <v>12513</v>
      </c>
      <c r="F41" s="7">
        <v>3239</v>
      </c>
      <c r="G41" s="7">
        <v>15752</v>
      </c>
      <c r="H41" s="8"/>
      <c r="I41" s="8"/>
      <c r="J41" s="9"/>
    </row>
    <row r="42" spans="1:10" x14ac:dyDescent="0.3">
      <c r="A42" s="10" t="s">
        <v>34</v>
      </c>
      <c r="B42" s="3">
        <v>2</v>
      </c>
      <c r="C42" s="3">
        <v>13</v>
      </c>
      <c r="D42" s="3">
        <v>15</v>
      </c>
      <c r="E42" s="3">
        <v>0</v>
      </c>
      <c r="F42" s="3">
        <v>17</v>
      </c>
      <c r="G42" s="3">
        <v>17</v>
      </c>
      <c r="H42" s="4"/>
      <c r="I42" s="4"/>
      <c r="J42" s="5"/>
    </row>
    <row r="43" spans="1:10" x14ac:dyDescent="0.3">
      <c r="A43" s="6" t="s">
        <v>35</v>
      </c>
      <c r="B43" s="7">
        <v>5054</v>
      </c>
      <c r="C43" s="7">
        <v>1217</v>
      </c>
      <c r="D43" s="7">
        <v>6271</v>
      </c>
      <c r="E43" s="7">
        <v>5417</v>
      </c>
      <c r="F43" s="7">
        <v>1084</v>
      </c>
      <c r="G43" s="7">
        <v>6501</v>
      </c>
      <c r="H43" s="41"/>
      <c r="I43" s="8"/>
      <c r="J43" s="9"/>
    </row>
    <row r="44" spans="1:10" x14ac:dyDescent="0.3">
      <c r="A44" s="10" t="s">
        <v>36</v>
      </c>
      <c r="B44" s="3">
        <v>4305</v>
      </c>
      <c r="C44" s="3">
        <v>98</v>
      </c>
      <c r="D44" s="3">
        <v>4403</v>
      </c>
      <c r="E44" s="3">
        <v>4509</v>
      </c>
      <c r="F44" s="3">
        <v>17</v>
      </c>
      <c r="G44" s="3">
        <v>4526</v>
      </c>
      <c r="H44" s="4"/>
      <c r="I44" s="4"/>
      <c r="J44" s="5"/>
    </row>
    <row r="45" spans="1:10" x14ac:dyDescent="0.3">
      <c r="A45" s="6" t="s">
        <v>54</v>
      </c>
      <c r="B45" s="7">
        <v>3698</v>
      </c>
      <c r="C45" s="7">
        <v>4</v>
      </c>
      <c r="D45" s="7">
        <v>3702</v>
      </c>
      <c r="E45" s="7">
        <v>4380</v>
      </c>
      <c r="F45" s="7">
        <v>26</v>
      </c>
      <c r="G45" s="7">
        <v>4406</v>
      </c>
      <c r="H45" s="8"/>
      <c r="I45" s="8"/>
      <c r="J45" s="9"/>
    </row>
    <row r="46" spans="1:10" x14ac:dyDescent="0.3">
      <c r="A46" s="10" t="s">
        <v>55</v>
      </c>
      <c r="B46" s="3">
        <v>2181</v>
      </c>
      <c r="C46" s="3">
        <v>4</v>
      </c>
      <c r="D46" s="3">
        <v>2185</v>
      </c>
      <c r="E46" s="3">
        <v>2876</v>
      </c>
      <c r="F46" s="3">
        <v>9</v>
      </c>
      <c r="G46" s="3">
        <v>2885</v>
      </c>
      <c r="H46" s="4"/>
      <c r="I46" s="4"/>
      <c r="J46" s="5"/>
    </row>
    <row r="47" spans="1:10" x14ac:dyDescent="0.3">
      <c r="A47" s="6" t="s">
        <v>38</v>
      </c>
      <c r="B47" s="7">
        <v>5435</v>
      </c>
      <c r="C47" s="7">
        <v>149</v>
      </c>
      <c r="D47" s="7">
        <v>5584</v>
      </c>
      <c r="E47" s="7">
        <v>6433</v>
      </c>
      <c r="F47" s="7">
        <v>200</v>
      </c>
      <c r="G47" s="7">
        <v>6633</v>
      </c>
      <c r="H47" s="8"/>
      <c r="I47" s="8"/>
      <c r="J47" s="9"/>
    </row>
    <row r="48" spans="1:10" x14ac:dyDescent="0.3">
      <c r="A48" s="10" t="s">
        <v>56</v>
      </c>
      <c r="B48" s="3">
        <v>3542</v>
      </c>
      <c r="C48" s="3">
        <v>10</v>
      </c>
      <c r="D48" s="3">
        <v>3552</v>
      </c>
      <c r="E48" s="3">
        <v>7050</v>
      </c>
      <c r="F48" s="3">
        <v>52</v>
      </c>
      <c r="G48" s="3">
        <v>7102</v>
      </c>
      <c r="H48" s="4"/>
      <c r="I48" s="4"/>
      <c r="J48" s="5"/>
    </row>
    <row r="49" spans="1:10" x14ac:dyDescent="0.3">
      <c r="A49" s="6" t="s">
        <v>39</v>
      </c>
      <c r="B49" s="7">
        <v>6870</v>
      </c>
      <c r="C49" s="7">
        <v>1343</v>
      </c>
      <c r="D49" s="7">
        <v>8213</v>
      </c>
      <c r="E49" s="7">
        <v>8010</v>
      </c>
      <c r="F49" s="7">
        <v>1218</v>
      </c>
      <c r="G49" s="7">
        <v>9228</v>
      </c>
      <c r="H49" s="8"/>
      <c r="I49" s="8"/>
      <c r="J49" s="9"/>
    </row>
    <row r="50" spans="1:10" x14ac:dyDescent="0.3">
      <c r="A50" s="10" t="s">
        <v>40</v>
      </c>
      <c r="B50" s="3">
        <v>442</v>
      </c>
      <c r="C50" s="3">
        <v>0</v>
      </c>
      <c r="D50" s="3">
        <v>442</v>
      </c>
      <c r="E50" s="3">
        <v>540</v>
      </c>
      <c r="F50" s="3">
        <v>0</v>
      </c>
      <c r="G50" s="3">
        <v>540</v>
      </c>
      <c r="H50" s="4"/>
      <c r="I50" s="4"/>
      <c r="J50" s="5"/>
    </row>
    <row r="51" spans="1:10" x14ac:dyDescent="0.3">
      <c r="A51" s="6" t="s">
        <v>41</v>
      </c>
      <c r="B51" s="7">
        <v>614</v>
      </c>
      <c r="C51" s="7">
        <v>0</v>
      </c>
      <c r="D51" s="7">
        <v>614</v>
      </c>
      <c r="E51" s="7">
        <v>784</v>
      </c>
      <c r="F51" s="7">
        <v>2</v>
      </c>
      <c r="G51" s="7">
        <v>786</v>
      </c>
      <c r="H51" s="8"/>
      <c r="I51" s="8"/>
      <c r="J51" s="9"/>
    </row>
    <row r="52" spans="1:10" x14ac:dyDescent="0.3">
      <c r="A52" s="10" t="s">
        <v>42</v>
      </c>
      <c r="B52" s="3">
        <v>2503</v>
      </c>
      <c r="C52" s="3">
        <v>22</v>
      </c>
      <c r="D52" s="3">
        <v>2525</v>
      </c>
      <c r="E52" s="3">
        <v>2815</v>
      </c>
      <c r="F52" s="3">
        <v>32</v>
      </c>
      <c r="G52" s="3">
        <v>2847</v>
      </c>
      <c r="H52" s="4"/>
      <c r="I52" s="4"/>
      <c r="J52" s="5"/>
    </row>
    <row r="53" spans="1:10" x14ac:dyDescent="0.3">
      <c r="A53" s="6" t="s">
        <v>57</v>
      </c>
      <c r="B53" s="7">
        <v>4196</v>
      </c>
      <c r="C53" s="7">
        <v>33</v>
      </c>
      <c r="D53" s="7">
        <v>4229</v>
      </c>
      <c r="E53" s="7">
        <v>4759</v>
      </c>
      <c r="F53" s="7">
        <v>128</v>
      </c>
      <c r="G53" s="7">
        <v>4887</v>
      </c>
      <c r="H53" s="8"/>
      <c r="I53" s="8"/>
      <c r="J53" s="9"/>
    </row>
    <row r="54" spans="1:10" x14ac:dyDescent="0.3">
      <c r="A54" s="10" t="s">
        <v>43</v>
      </c>
      <c r="B54" s="3">
        <v>1791</v>
      </c>
      <c r="C54" s="3">
        <v>0</v>
      </c>
      <c r="D54" s="3">
        <v>1791</v>
      </c>
      <c r="E54" s="3">
        <v>2584</v>
      </c>
      <c r="F54" s="3">
        <v>0</v>
      </c>
      <c r="G54" s="3">
        <v>2584</v>
      </c>
      <c r="H54" s="4"/>
      <c r="I54" s="4"/>
      <c r="J54" s="5"/>
    </row>
    <row r="55" spans="1:10" x14ac:dyDescent="0.3">
      <c r="A55" s="6" t="s">
        <v>52</v>
      </c>
      <c r="B55" s="7">
        <v>303</v>
      </c>
      <c r="C55" s="7">
        <v>211</v>
      </c>
      <c r="D55" s="7">
        <v>514</v>
      </c>
      <c r="E55" s="7">
        <v>255</v>
      </c>
      <c r="F55" s="7">
        <v>91</v>
      </c>
      <c r="G55" s="7">
        <v>346</v>
      </c>
      <c r="H55" s="8"/>
      <c r="I55" s="8"/>
      <c r="J55" s="9"/>
    </row>
    <row r="56" spans="1:10" x14ac:dyDescent="0.3">
      <c r="A56" s="10" t="s">
        <v>44</v>
      </c>
      <c r="B56" s="3">
        <v>593</v>
      </c>
      <c r="C56" s="3">
        <v>5</v>
      </c>
      <c r="D56" s="3">
        <v>598</v>
      </c>
      <c r="E56" s="3">
        <v>971</v>
      </c>
      <c r="F56" s="3">
        <v>17</v>
      </c>
      <c r="G56" s="3">
        <v>988</v>
      </c>
      <c r="H56" s="4"/>
      <c r="I56" s="4"/>
      <c r="J56" s="5"/>
    </row>
    <row r="57" spans="1:10" x14ac:dyDescent="0.3">
      <c r="A57" s="6" t="s">
        <v>45</v>
      </c>
      <c r="B57" s="7">
        <v>0</v>
      </c>
      <c r="C57" s="7">
        <v>0</v>
      </c>
      <c r="D57" s="7">
        <v>0</v>
      </c>
      <c r="E57" s="7">
        <v>1</v>
      </c>
      <c r="F57" s="7">
        <v>1</v>
      </c>
      <c r="G57" s="7">
        <v>2</v>
      </c>
      <c r="H57" s="8"/>
      <c r="I57" s="8"/>
      <c r="J57" s="9"/>
    </row>
    <row r="58" spans="1:10" x14ac:dyDescent="0.3">
      <c r="A58" s="10" t="s">
        <v>46</v>
      </c>
      <c r="B58" s="3">
        <v>7793</v>
      </c>
      <c r="C58" s="3">
        <v>14</v>
      </c>
      <c r="D58" s="3">
        <v>7807</v>
      </c>
      <c r="E58" s="3">
        <v>8987</v>
      </c>
      <c r="F58" s="3">
        <v>21</v>
      </c>
      <c r="G58" s="3">
        <v>9008</v>
      </c>
      <c r="H58" s="4"/>
      <c r="I58" s="4"/>
      <c r="J58" s="5"/>
    </row>
    <row r="59" spans="1:10" x14ac:dyDescent="0.3">
      <c r="A59" s="6" t="s">
        <v>63</v>
      </c>
      <c r="B59" s="7">
        <v>408</v>
      </c>
      <c r="C59" s="7">
        <v>236</v>
      </c>
      <c r="D59" s="7">
        <v>644</v>
      </c>
      <c r="E59" s="7">
        <v>466</v>
      </c>
      <c r="F59" s="7">
        <v>382</v>
      </c>
      <c r="G59" s="7">
        <v>848</v>
      </c>
      <c r="H59" s="8"/>
      <c r="I59" s="8"/>
      <c r="J59" s="9"/>
    </row>
    <row r="60" spans="1:10" x14ac:dyDescent="0.3">
      <c r="A60" s="10" t="s">
        <v>64</v>
      </c>
      <c r="B60" s="3">
        <v>226</v>
      </c>
      <c r="C60" s="3">
        <v>605</v>
      </c>
      <c r="D60" s="3">
        <v>831</v>
      </c>
      <c r="E60" s="3">
        <v>323</v>
      </c>
      <c r="F60" s="3">
        <v>625</v>
      </c>
      <c r="G60" s="3">
        <v>948</v>
      </c>
      <c r="H60" s="4"/>
      <c r="I60" s="4"/>
      <c r="J60" s="5"/>
    </row>
    <row r="61" spans="1:10" x14ac:dyDescent="0.3">
      <c r="A61" s="11"/>
      <c r="B61" s="22"/>
      <c r="C61" s="22"/>
      <c r="D61" s="22"/>
      <c r="E61" s="22"/>
      <c r="F61" s="22"/>
      <c r="G61" s="22"/>
      <c r="H61" s="23"/>
      <c r="I61" s="23"/>
      <c r="J61" s="23"/>
    </row>
    <row r="62" spans="1:10" x14ac:dyDescent="0.3">
      <c r="A62" s="14"/>
      <c r="B62" s="24"/>
      <c r="C62" s="24"/>
      <c r="D62" s="24"/>
      <c r="E62" s="24"/>
      <c r="F62" s="24"/>
      <c r="G62" s="24"/>
      <c r="H62" s="25"/>
      <c r="I62" s="25"/>
      <c r="J62" s="25"/>
    </row>
    <row r="63" spans="1:10" x14ac:dyDescent="0.3">
      <c r="A63" s="26"/>
      <c r="B63" s="27"/>
      <c r="C63" s="27"/>
      <c r="D63" s="27"/>
      <c r="E63" s="27"/>
      <c r="F63" s="27"/>
      <c r="G63" s="27"/>
      <c r="H63" s="27"/>
      <c r="I63" s="27"/>
      <c r="J63" s="28"/>
    </row>
    <row r="64" spans="1:10" x14ac:dyDescent="0.3">
      <c r="A64" s="26"/>
      <c r="B64" s="27"/>
      <c r="C64" s="27"/>
      <c r="D64" s="27"/>
      <c r="E64" s="27"/>
      <c r="F64" s="27"/>
      <c r="G64" s="27"/>
      <c r="H64" s="27"/>
      <c r="I64" s="27"/>
      <c r="J64" s="28"/>
    </row>
    <row r="65" spans="1:10" ht="15" thickBot="1" x14ac:dyDescent="0.35">
      <c r="A65" s="29"/>
      <c r="B65" s="30"/>
      <c r="C65" s="30"/>
      <c r="D65" s="30"/>
      <c r="E65" s="30"/>
      <c r="F65" s="30"/>
      <c r="G65" s="30"/>
      <c r="H65" s="30"/>
      <c r="I65" s="30"/>
      <c r="J65" s="31"/>
    </row>
    <row r="66" spans="1:10" ht="50.25" customHeight="1" x14ac:dyDescent="0.3">
      <c r="A66" s="61"/>
      <c r="B66" s="61"/>
      <c r="C66" s="61"/>
      <c r="D66" s="61"/>
      <c r="E66" s="61"/>
      <c r="F66" s="61"/>
      <c r="G66" s="61"/>
      <c r="H66" s="61"/>
      <c r="I66" s="61"/>
      <c r="J66" s="61"/>
    </row>
    <row r="67" spans="1:10" x14ac:dyDescent="0.3">
      <c r="A67" s="39"/>
    </row>
  </sheetData>
  <mergeCells count="6">
    <mergeCell ref="A66:J66"/>
    <mergeCell ref="A1:J1"/>
    <mergeCell ref="A2:A3"/>
    <mergeCell ref="B2:D2"/>
    <mergeCell ref="E2:G2"/>
    <mergeCell ref="H2:J2"/>
  </mergeCells>
  <conditionalFormatting sqref="B4:J60">
    <cfRule type="cellIs" dxfId="2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71"/>
  <sheetViews>
    <sheetView topLeftCell="A40" zoomScale="80" zoomScaleNormal="80" workbookViewId="0">
      <selection activeCell="A61" sqref="A61:J70"/>
    </sheetView>
  </sheetViews>
  <sheetFormatPr defaultRowHeight="14.4" x14ac:dyDescent="0.3"/>
  <cols>
    <col min="1" max="1" width="34" bestFit="1" customWidth="1"/>
    <col min="2" max="10" width="14.33203125" customWidth="1"/>
  </cols>
  <sheetData>
    <row r="1" spans="1:10" ht="18" customHeight="1" x14ac:dyDescent="0.3">
      <c r="A1" s="62" t="s">
        <v>49</v>
      </c>
      <c r="B1" s="63"/>
      <c r="C1" s="63"/>
      <c r="D1" s="63"/>
      <c r="E1" s="63"/>
      <c r="F1" s="63"/>
      <c r="G1" s="63"/>
      <c r="H1" s="63"/>
      <c r="I1" s="63"/>
      <c r="J1" s="64"/>
    </row>
    <row r="2" spans="1:10" ht="30" customHeight="1" x14ac:dyDescent="0.3">
      <c r="A2" s="76" t="s">
        <v>1</v>
      </c>
      <c r="B2" s="67" t="s">
        <v>66</v>
      </c>
      <c r="C2" s="67"/>
      <c r="D2" s="67"/>
      <c r="E2" s="67" t="s">
        <v>67</v>
      </c>
      <c r="F2" s="67"/>
      <c r="G2" s="67"/>
      <c r="H2" s="68"/>
      <c r="I2" s="68"/>
      <c r="J2" s="69"/>
    </row>
    <row r="3" spans="1:10" x14ac:dyDescent="0.3">
      <c r="A3" s="77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3">
        <v>249.553</v>
      </c>
      <c r="C4" s="3">
        <v>58400.665000000001</v>
      </c>
      <c r="D4" s="3">
        <v>58650.218000000001</v>
      </c>
      <c r="E4" s="3">
        <v>0</v>
      </c>
      <c r="F4" s="3">
        <v>0</v>
      </c>
      <c r="G4" s="3">
        <v>0</v>
      </c>
      <c r="H4" s="4"/>
      <c r="I4" s="4"/>
      <c r="J4" s="5"/>
    </row>
    <row r="5" spans="1:10" x14ac:dyDescent="0.3">
      <c r="A5" s="6" t="s">
        <v>58</v>
      </c>
      <c r="B5" s="7">
        <v>205862.38800000001</v>
      </c>
      <c r="C5" s="7">
        <v>2494619.7349999999</v>
      </c>
      <c r="D5" s="7">
        <v>2700482.1229999997</v>
      </c>
      <c r="E5" s="7">
        <v>209821.87300000002</v>
      </c>
      <c r="F5" s="7">
        <v>2689388.8510000007</v>
      </c>
      <c r="G5" s="7">
        <v>2899210.7240000009</v>
      </c>
      <c r="H5" s="8"/>
      <c r="I5" s="8"/>
      <c r="J5" s="9"/>
    </row>
    <row r="6" spans="1:10" x14ac:dyDescent="0.3">
      <c r="A6" s="10" t="s">
        <v>59</v>
      </c>
      <c r="B6" s="3">
        <v>120527.89000000001</v>
      </c>
      <c r="C6" s="3">
        <v>245435.11300000004</v>
      </c>
      <c r="D6" s="3">
        <v>365963.00300000003</v>
      </c>
      <c r="E6" s="3">
        <v>130647.734</v>
      </c>
      <c r="F6" s="3">
        <v>277302.36599999998</v>
      </c>
      <c r="G6" s="3">
        <v>407950.1</v>
      </c>
      <c r="H6" s="4"/>
      <c r="I6" s="4"/>
      <c r="J6" s="5"/>
    </row>
    <row r="7" spans="1:10" x14ac:dyDescent="0.3">
      <c r="A7" s="6" t="s">
        <v>6</v>
      </c>
      <c r="B7" s="7">
        <v>58510.023000000001</v>
      </c>
      <c r="C7" s="7">
        <v>35877.114000000001</v>
      </c>
      <c r="D7" s="7">
        <v>94387.137000000002</v>
      </c>
      <c r="E7" s="7">
        <v>73327.108000000007</v>
      </c>
      <c r="F7" s="7">
        <v>44303.141999999993</v>
      </c>
      <c r="G7" s="7">
        <v>117630.25</v>
      </c>
      <c r="H7" s="8"/>
      <c r="I7" s="8"/>
      <c r="J7" s="9"/>
    </row>
    <row r="8" spans="1:10" x14ac:dyDescent="0.3">
      <c r="A8" s="10" t="s">
        <v>7</v>
      </c>
      <c r="B8" s="3">
        <v>73073.195999999996</v>
      </c>
      <c r="C8" s="3">
        <v>65894.362999999998</v>
      </c>
      <c r="D8" s="3">
        <v>138967.55900000001</v>
      </c>
      <c r="E8" s="3">
        <v>75988.242999999988</v>
      </c>
      <c r="F8" s="3">
        <v>70327.359000000011</v>
      </c>
      <c r="G8" s="3">
        <v>146315.60200000001</v>
      </c>
      <c r="H8" s="4"/>
      <c r="I8" s="4"/>
      <c r="J8" s="5"/>
    </row>
    <row r="9" spans="1:10" x14ac:dyDescent="0.3">
      <c r="A9" s="6" t="s">
        <v>8</v>
      </c>
      <c r="B9" s="7">
        <v>59826.296000000009</v>
      </c>
      <c r="C9" s="7">
        <v>343252.96299999999</v>
      </c>
      <c r="D9" s="7">
        <v>403079.25900000002</v>
      </c>
      <c r="E9" s="7">
        <v>58788.01400000001</v>
      </c>
      <c r="F9" s="7">
        <v>385126.77399999998</v>
      </c>
      <c r="G9" s="7">
        <v>443914.788</v>
      </c>
      <c r="H9" s="8"/>
      <c r="I9" s="8"/>
      <c r="J9" s="9"/>
    </row>
    <row r="10" spans="1:10" x14ac:dyDescent="0.3">
      <c r="A10" s="10" t="s">
        <v>60</v>
      </c>
      <c r="B10" s="3">
        <v>4144.8410000000003</v>
      </c>
      <c r="C10" s="3">
        <v>3679.0159999999996</v>
      </c>
      <c r="D10" s="3">
        <v>7823.857</v>
      </c>
      <c r="E10" s="3">
        <v>4094.5739999999996</v>
      </c>
      <c r="F10" s="3">
        <v>4621.2899999999991</v>
      </c>
      <c r="G10" s="3">
        <v>8715.8639999999978</v>
      </c>
      <c r="H10" s="4"/>
      <c r="I10" s="4"/>
      <c r="J10" s="5"/>
    </row>
    <row r="11" spans="1:10" x14ac:dyDescent="0.3">
      <c r="A11" s="6" t="s">
        <v>9</v>
      </c>
      <c r="B11" s="7">
        <v>14395.686000000002</v>
      </c>
      <c r="C11" s="7">
        <v>42255.346999999994</v>
      </c>
      <c r="D11" s="7">
        <v>56651.032999999996</v>
      </c>
      <c r="E11" s="7">
        <v>15267.232000000002</v>
      </c>
      <c r="F11" s="7">
        <v>47632.306000000004</v>
      </c>
      <c r="G11" s="7">
        <v>62899.538000000008</v>
      </c>
      <c r="H11" s="8"/>
      <c r="I11" s="8"/>
      <c r="J11" s="9"/>
    </row>
    <row r="12" spans="1:10" x14ac:dyDescent="0.3">
      <c r="A12" s="10" t="s">
        <v>10</v>
      </c>
      <c r="B12" s="3">
        <v>18865.994999999999</v>
      </c>
      <c r="C12" s="3">
        <v>24782.866000000005</v>
      </c>
      <c r="D12" s="3">
        <v>43648.861000000004</v>
      </c>
      <c r="E12" s="3">
        <v>19636.545000000002</v>
      </c>
      <c r="F12" s="3">
        <v>23632.82399999999</v>
      </c>
      <c r="G12" s="3">
        <v>43269.368999999992</v>
      </c>
      <c r="H12" s="4"/>
      <c r="I12" s="4"/>
      <c r="J12" s="5"/>
    </row>
    <row r="13" spans="1:10" x14ac:dyDescent="0.3">
      <c r="A13" s="6" t="s">
        <v>11</v>
      </c>
      <c r="B13" s="7">
        <v>33093.548999999999</v>
      </c>
      <c r="C13" s="7">
        <v>11768.520999999999</v>
      </c>
      <c r="D13" s="7">
        <v>44862.07</v>
      </c>
      <c r="E13" s="7">
        <v>36149.001000000004</v>
      </c>
      <c r="F13" s="7">
        <v>13285.016999999998</v>
      </c>
      <c r="G13" s="7">
        <v>49434.018000000004</v>
      </c>
      <c r="H13" s="8"/>
      <c r="I13" s="8"/>
      <c r="J13" s="9"/>
    </row>
    <row r="14" spans="1:10" x14ac:dyDescent="0.3">
      <c r="A14" s="10" t="s">
        <v>12</v>
      </c>
      <c r="B14" s="3">
        <v>23621.358</v>
      </c>
      <c r="C14" s="3">
        <v>12738.743000000002</v>
      </c>
      <c r="D14" s="3">
        <v>36360.101000000002</v>
      </c>
      <c r="E14" s="3">
        <v>23027.788</v>
      </c>
      <c r="F14" s="3">
        <v>14330.020999999999</v>
      </c>
      <c r="G14" s="3">
        <v>37357.809000000001</v>
      </c>
      <c r="H14" s="4"/>
      <c r="I14" s="4"/>
      <c r="J14" s="5"/>
    </row>
    <row r="15" spans="1:10" x14ac:dyDescent="0.3">
      <c r="A15" s="6" t="s">
        <v>13</v>
      </c>
      <c r="B15" s="7">
        <v>7189.5429999999997</v>
      </c>
      <c r="C15" s="7">
        <v>77.281999999999982</v>
      </c>
      <c r="D15" s="7">
        <v>7266.8249999999998</v>
      </c>
      <c r="E15" s="7">
        <v>8100.3970000000008</v>
      </c>
      <c r="F15" s="7">
        <v>122.38200000000001</v>
      </c>
      <c r="G15" s="7">
        <v>8222.7790000000005</v>
      </c>
      <c r="H15" s="8"/>
      <c r="I15" s="8"/>
      <c r="J15" s="9"/>
    </row>
    <row r="16" spans="1:10" x14ac:dyDescent="0.3">
      <c r="A16" s="10" t="s">
        <v>14</v>
      </c>
      <c r="B16" s="3">
        <v>18925.378000000004</v>
      </c>
      <c r="C16" s="3">
        <v>6195.188000000001</v>
      </c>
      <c r="D16" s="3">
        <v>25120.566000000006</v>
      </c>
      <c r="E16" s="3">
        <v>19657.076000000001</v>
      </c>
      <c r="F16" s="3">
        <v>6923.14</v>
      </c>
      <c r="G16" s="3">
        <v>26580.216</v>
      </c>
      <c r="H16" s="40"/>
      <c r="I16" s="4"/>
      <c r="J16" s="5"/>
    </row>
    <row r="17" spans="1:10" x14ac:dyDescent="0.3">
      <c r="A17" s="6" t="s">
        <v>15</v>
      </c>
      <c r="B17" s="7">
        <v>1725.74</v>
      </c>
      <c r="C17" s="7">
        <v>0</v>
      </c>
      <c r="D17" s="7">
        <v>1725.74</v>
      </c>
      <c r="E17" s="7">
        <v>2834.7230000000004</v>
      </c>
      <c r="F17" s="7">
        <v>26.774000000000001</v>
      </c>
      <c r="G17" s="7">
        <v>2861.4970000000003</v>
      </c>
      <c r="H17" s="8"/>
      <c r="I17" s="8"/>
      <c r="J17" s="9"/>
    </row>
    <row r="18" spans="1:10" x14ac:dyDescent="0.3">
      <c r="A18" s="10" t="s">
        <v>16</v>
      </c>
      <c r="B18" s="3">
        <v>1998.7260000000001</v>
      </c>
      <c r="C18" s="3">
        <v>0</v>
      </c>
      <c r="D18" s="3">
        <v>1998.7260000000001</v>
      </c>
      <c r="E18" s="3">
        <v>2808.2449999999999</v>
      </c>
      <c r="F18" s="3">
        <v>0.1</v>
      </c>
      <c r="G18" s="3">
        <v>2808.3449999999998</v>
      </c>
      <c r="H18" s="4"/>
      <c r="I18" s="4"/>
      <c r="J18" s="5"/>
    </row>
    <row r="19" spans="1:10" x14ac:dyDescent="0.3">
      <c r="A19" s="6" t="s">
        <v>17</v>
      </c>
      <c r="B19" s="7">
        <v>753.74099999999999</v>
      </c>
      <c r="C19" s="7">
        <v>233.77199999999999</v>
      </c>
      <c r="D19" s="7">
        <v>987.51299999999992</v>
      </c>
      <c r="E19" s="7">
        <v>941.35600000000011</v>
      </c>
      <c r="F19" s="7">
        <v>198.95400000000001</v>
      </c>
      <c r="G19" s="7">
        <v>1140.3100000000002</v>
      </c>
      <c r="H19" s="8"/>
      <c r="I19" s="8"/>
      <c r="J19" s="9"/>
    </row>
    <row r="20" spans="1:10" x14ac:dyDescent="0.3">
      <c r="A20" s="10" t="s">
        <v>61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/>
      <c r="I20" s="4"/>
      <c r="J20" s="5"/>
    </row>
    <row r="21" spans="1:10" x14ac:dyDescent="0.3">
      <c r="A21" s="6" t="s">
        <v>18</v>
      </c>
      <c r="B21" s="7">
        <v>1722.056</v>
      </c>
      <c r="C21" s="7">
        <v>244.874</v>
      </c>
      <c r="D21" s="7">
        <v>1966.93</v>
      </c>
      <c r="E21" s="7">
        <v>1820.432</v>
      </c>
      <c r="F21" s="7">
        <v>572.654</v>
      </c>
      <c r="G21" s="7">
        <v>2393.0860000000002</v>
      </c>
      <c r="H21" s="8"/>
      <c r="I21" s="8"/>
      <c r="J21" s="9"/>
    </row>
    <row r="22" spans="1:10" x14ac:dyDescent="0.3">
      <c r="A22" s="10" t="s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/>
      <c r="I22" s="4"/>
      <c r="J22" s="5"/>
    </row>
    <row r="23" spans="1:10" x14ac:dyDescent="0.3">
      <c r="A23" s="6" t="s">
        <v>20</v>
      </c>
      <c r="B23" s="7">
        <v>4181.8829999999998</v>
      </c>
      <c r="C23" s="7">
        <v>6.6139999999999999</v>
      </c>
      <c r="D23" s="7">
        <v>4188.4969999999994</v>
      </c>
      <c r="E23" s="7">
        <v>5502.7840000000006</v>
      </c>
      <c r="F23" s="7">
        <v>50.398000000000003</v>
      </c>
      <c r="G23" s="7">
        <v>5553.1820000000007</v>
      </c>
      <c r="H23" s="8"/>
      <c r="I23" s="8"/>
      <c r="J23" s="9"/>
    </row>
    <row r="24" spans="1:10" x14ac:dyDescent="0.3">
      <c r="A24" s="10" t="s">
        <v>21</v>
      </c>
      <c r="B24" s="3">
        <v>1199.328</v>
      </c>
      <c r="C24" s="3">
        <v>0</v>
      </c>
      <c r="D24" s="3">
        <v>1199.328</v>
      </c>
      <c r="E24" s="3">
        <v>1576.364</v>
      </c>
      <c r="F24" s="3">
        <v>2.3479999999999999</v>
      </c>
      <c r="G24" s="3">
        <v>1578.712</v>
      </c>
      <c r="H24" s="4"/>
      <c r="I24" s="4"/>
      <c r="J24" s="5"/>
    </row>
    <row r="25" spans="1:10" x14ac:dyDescent="0.3">
      <c r="A25" s="6" t="s">
        <v>22</v>
      </c>
      <c r="B25" s="7">
        <v>1030.2470000000001</v>
      </c>
      <c r="C25" s="7">
        <v>284.86099999999999</v>
      </c>
      <c r="D25" s="7">
        <v>1315.1080000000002</v>
      </c>
      <c r="E25" s="7">
        <v>1800.7669999999998</v>
      </c>
      <c r="F25" s="7">
        <v>499.72700000000003</v>
      </c>
      <c r="G25" s="7">
        <v>2300.4939999999997</v>
      </c>
      <c r="H25" s="8"/>
      <c r="I25" s="8"/>
      <c r="J25" s="9"/>
    </row>
    <row r="26" spans="1:10" x14ac:dyDescent="0.3">
      <c r="A26" s="10" t="s">
        <v>23</v>
      </c>
      <c r="B26" s="3">
        <v>1147.3040000000001</v>
      </c>
      <c r="C26" s="3">
        <v>8.8689999999999998</v>
      </c>
      <c r="D26" s="3">
        <v>1156.173</v>
      </c>
      <c r="E26" s="3">
        <v>819.38600000000008</v>
      </c>
      <c r="F26" s="3">
        <v>49.721999999999994</v>
      </c>
      <c r="G26" s="3">
        <v>869.10800000000006</v>
      </c>
      <c r="H26" s="4"/>
      <c r="I26" s="4"/>
      <c r="J26" s="5"/>
    </row>
    <row r="27" spans="1:10" x14ac:dyDescent="0.3">
      <c r="A27" s="6" t="s">
        <v>24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8"/>
      <c r="I27" s="8"/>
      <c r="J27" s="9"/>
    </row>
    <row r="28" spans="1:10" x14ac:dyDescent="0.3">
      <c r="A28" s="10" t="s">
        <v>25</v>
      </c>
      <c r="B28" s="3">
        <v>3078.3430000000003</v>
      </c>
      <c r="C28" s="3">
        <v>958.6930000000001</v>
      </c>
      <c r="D28" s="3">
        <v>4037.0360000000005</v>
      </c>
      <c r="E28" s="3">
        <v>3437.1239999999998</v>
      </c>
      <c r="F28" s="3">
        <v>817.66699999999992</v>
      </c>
      <c r="G28" s="3">
        <v>4254.7909999999993</v>
      </c>
      <c r="H28" s="4"/>
      <c r="I28" s="4"/>
      <c r="J28" s="5"/>
    </row>
    <row r="29" spans="1:10" x14ac:dyDescent="0.3">
      <c r="A29" s="6" t="s">
        <v>26</v>
      </c>
      <c r="B29" s="7">
        <v>12870.628000000002</v>
      </c>
      <c r="C29" s="7">
        <v>2525.585</v>
      </c>
      <c r="D29" s="7">
        <v>15396.213000000003</v>
      </c>
      <c r="E29" s="7">
        <v>15998.688</v>
      </c>
      <c r="F29" s="7">
        <v>2693.1039999999998</v>
      </c>
      <c r="G29" s="7">
        <v>18691.792000000001</v>
      </c>
      <c r="H29" s="8"/>
      <c r="I29" s="8"/>
      <c r="J29" s="9"/>
    </row>
    <row r="30" spans="1:10" x14ac:dyDescent="0.3">
      <c r="A30" s="10" t="s">
        <v>27</v>
      </c>
      <c r="B30" s="3">
        <v>5648.7390000000005</v>
      </c>
      <c r="C30" s="3">
        <v>1423.5219999999999</v>
      </c>
      <c r="D30" s="3">
        <v>7072.2610000000004</v>
      </c>
      <c r="E30" s="3">
        <v>6999.4130000000005</v>
      </c>
      <c r="F30" s="3">
        <v>1679.701</v>
      </c>
      <c r="G30" s="3">
        <v>8679.1140000000014</v>
      </c>
      <c r="H30" s="4"/>
      <c r="I30" s="4"/>
      <c r="J30" s="5"/>
    </row>
    <row r="31" spans="1:10" x14ac:dyDescent="0.3">
      <c r="A31" s="6" t="s">
        <v>53</v>
      </c>
      <c r="B31" s="7">
        <v>2660.2450000000003</v>
      </c>
      <c r="C31" s="7">
        <v>241.95900000000006</v>
      </c>
      <c r="D31" s="7">
        <v>2902.2040000000006</v>
      </c>
      <c r="E31" s="7">
        <v>3285.8750000000005</v>
      </c>
      <c r="F31" s="7">
        <v>13.425000000000001</v>
      </c>
      <c r="G31" s="7">
        <v>3299.3000000000006</v>
      </c>
      <c r="H31" s="8"/>
      <c r="I31" s="8"/>
      <c r="J31" s="9"/>
    </row>
    <row r="32" spans="1:10" x14ac:dyDescent="0.3">
      <c r="A32" s="10" t="s">
        <v>62</v>
      </c>
      <c r="B32" s="3">
        <v>6.1280000000000001</v>
      </c>
      <c r="C32" s="3">
        <v>2240.6279999999997</v>
      </c>
      <c r="D32" s="3">
        <v>2246.7559999999999</v>
      </c>
      <c r="E32" s="3">
        <v>0.85499999999999998</v>
      </c>
      <c r="F32" s="3">
        <v>2030.231</v>
      </c>
      <c r="G32" s="3">
        <v>2031.086</v>
      </c>
      <c r="H32" s="4"/>
      <c r="I32" s="4"/>
      <c r="J32" s="5"/>
    </row>
    <row r="33" spans="1:10" x14ac:dyDescent="0.3">
      <c r="A33" s="6" t="s">
        <v>51</v>
      </c>
      <c r="B33" s="7">
        <v>1319.296</v>
      </c>
      <c r="C33" s="7">
        <v>0</v>
      </c>
      <c r="D33" s="7">
        <v>1319.296</v>
      </c>
      <c r="E33" s="7">
        <v>1790.3420000000001</v>
      </c>
      <c r="F33" s="7">
        <v>0</v>
      </c>
      <c r="G33" s="7">
        <v>1790.3420000000001</v>
      </c>
      <c r="H33" s="8"/>
      <c r="I33" s="8"/>
      <c r="J33" s="9"/>
    </row>
    <row r="34" spans="1:10" x14ac:dyDescent="0.3">
      <c r="A34" s="10" t="s">
        <v>28</v>
      </c>
      <c r="B34" s="3">
        <v>9514.6290000000008</v>
      </c>
      <c r="C34" s="3">
        <v>2354.3860000000004</v>
      </c>
      <c r="D34" s="3">
        <v>11869.015000000001</v>
      </c>
      <c r="E34" s="3">
        <v>1630.4689999999996</v>
      </c>
      <c r="F34" s="3">
        <v>239.88199999999998</v>
      </c>
      <c r="G34" s="3">
        <v>1870.3509999999997</v>
      </c>
      <c r="H34" s="4"/>
      <c r="I34" s="4"/>
      <c r="J34" s="5"/>
    </row>
    <row r="35" spans="1:10" x14ac:dyDescent="0.3">
      <c r="A35" s="6" t="s">
        <v>50</v>
      </c>
      <c r="B35" s="7">
        <v>2242.7849999999999</v>
      </c>
      <c r="C35" s="7">
        <v>0.79</v>
      </c>
      <c r="D35" s="7">
        <v>2243.5749999999998</v>
      </c>
      <c r="E35" s="7">
        <v>3575.2349999999997</v>
      </c>
      <c r="F35" s="42">
        <v>0.5</v>
      </c>
      <c r="G35" s="7">
        <v>3575.7349999999997</v>
      </c>
      <c r="H35" s="8"/>
      <c r="I35" s="8"/>
      <c r="J35" s="9"/>
    </row>
    <row r="36" spans="1:10" x14ac:dyDescent="0.3">
      <c r="A36" s="10" t="s">
        <v>29</v>
      </c>
      <c r="B36" s="3">
        <v>423.89</v>
      </c>
      <c r="C36" s="3">
        <v>463.40400000000005</v>
      </c>
      <c r="D36" s="3">
        <v>887.2940000000001</v>
      </c>
      <c r="E36" s="3">
        <v>472.54699999999997</v>
      </c>
      <c r="F36" s="3">
        <v>460.72699999999998</v>
      </c>
      <c r="G36" s="3">
        <v>933.27399999999989</v>
      </c>
      <c r="H36" s="4"/>
      <c r="I36" s="4"/>
      <c r="J36" s="5"/>
    </row>
    <row r="37" spans="1:10" x14ac:dyDescent="0.3">
      <c r="A37" s="6" t="s">
        <v>30</v>
      </c>
      <c r="B37" s="7">
        <v>1575.6210000000001</v>
      </c>
      <c r="C37" s="7">
        <v>0.99399999999999999</v>
      </c>
      <c r="D37" s="7">
        <v>1576.615</v>
      </c>
      <c r="E37" s="7">
        <v>2014.903</v>
      </c>
      <c r="F37" s="7">
        <v>8.3040000000000003</v>
      </c>
      <c r="G37" s="7">
        <v>2023.2070000000001</v>
      </c>
      <c r="H37" s="8"/>
      <c r="I37" s="8"/>
      <c r="J37" s="9"/>
    </row>
    <row r="38" spans="1:10" x14ac:dyDescent="0.3">
      <c r="A38" s="10" t="s">
        <v>37</v>
      </c>
      <c r="B38" s="3">
        <v>4521.5249999999996</v>
      </c>
      <c r="C38" s="3">
        <v>163.48499999999999</v>
      </c>
      <c r="D38" s="3">
        <v>4685.0099999999993</v>
      </c>
      <c r="E38" s="3">
        <v>5524.0910000000003</v>
      </c>
      <c r="F38" s="3">
        <v>208.89400000000001</v>
      </c>
      <c r="G38" s="3">
        <v>5732.9850000000006</v>
      </c>
      <c r="H38" s="4"/>
      <c r="I38" s="4"/>
      <c r="J38" s="5"/>
    </row>
    <row r="39" spans="1:10" x14ac:dyDescent="0.3">
      <c r="A39" s="6" t="s">
        <v>31</v>
      </c>
      <c r="B39" s="7">
        <v>4373.9049999999997</v>
      </c>
      <c r="C39" s="7">
        <v>0</v>
      </c>
      <c r="D39" s="7">
        <v>4373.9049999999997</v>
      </c>
      <c r="E39" s="7">
        <v>4802.2859999999991</v>
      </c>
      <c r="F39" s="7">
        <v>0</v>
      </c>
      <c r="G39" s="7">
        <v>4802.2859999999991</v>
      </c>
      <c r="H39" s="8"/>
      <c r="I39" s="8"/>
      <c r="J39" s="9"/>
    </row>
    <row r="40" spans="1:10" x14ac:dyDescent="0.3">
      <c r="A40" s="10" t="s">
        <v>32</v>
      </c>
      <c r="B40" s="3">
        <v>331.89100000000002</v>
      </c>
      <c r="C40" s="3">
        <v>5.7669999999999995</v>
      </c>
      <c r="D40" s="3">
        <v>337.65800000000002</v>
      </c>
      <c r="E40" s="3">
        <v>403.29299999999995</v>
      </c>
      <c r="F40" s="3">
        <v>46.195</v>
      </c>
      <c r="G40" s="3">
        <v>449.48799999999994</v>
      </c>
      <c r="H40" s="4"/>
      <c r="I40" s="4"/>
      <c r="J40" s="5"/>
    </row>
    <row r="41" spans="1:10" x14ac:dyDescent="0.3">
      <c r="A41" s="6" t="s">
        <v>33</v>
      </c>
      <c r="B41" s="7">
        <v>17378.044999999998</v>
      </c>
      <c r="C41" s="7">
        <v>10303.633000000002</v>
      </c>
      <c r="D41" s="7">
        <v>27681.678</v>
      </c>
      <c r="E41" s="7">
        <v>17463.938999999998</v>
      </c>
      <c r="F41" s="7">
        <v>9285.3539999999994</v>
      </c>
      <c r="G41" s="7">
        <v>26749.292999999998</v>
      </c>
      <c r="H41" s="8"/>
      <c r="I41" s="8"/>
      <c r="J41" s="9"/>
    </row>
    <row r="42" spans="1:10" x14ac:dyDescent="0.3">
      <c r="A42" s="10" t="s">
        <v>34</v>
      </c>
      <c r="B42" s="3">
        <v>0.79800000000000004</v>
      </c>
      <c r="C42" s="3">
        <v>13.814</v>
      </c>
      <c r="D42" s="3">
        <v>14.612</v>
      </c>
      <c r="E42" s="3">
        <v>0</v>
      </c>
      <c r="F42" s="3">
        <v>44.830999999999996</v>
      </c>
      <c r="G42" s="3">
        <v>44.830999999999996</v>
      </c>
      <c r="H42" s="4"/>
      <c r="I42" s="4"/>
      <c r="J42" s="5"/>
    </row>
    <row r="43" spans="1:10" x14ac:dyDescent="0.3">
      <c r="A43" s="6" t="s">
        <v>35</v>
      </c>
      <c r="B43" s="7">
        <v>6027.1839999999984</v>
      </c>
      <c r="C43" s="7">
        <v>3229.3609999999999</v>
      </c>
      <c r="D43" s="7">
        <v>9256.5449999999983</v>
      </c>
      <c r="E43" s="7">
        <v>6027.99</v>
      </c>
      <c r="F43" s="7">
        <v>3689.7120000000004</v>
      </c>
      <c r="G43" s="7">
        <v>9717.7020000000011</v>
      </c>
      <c r="H43" s="8"/>
      <c r="I43" s="8"/>
      <c r="J43" s="9"/>
    </row>
    <row r="44" spans="1:10" x14ac:dyDescent="0.3">
      <c r="A44" s="10" t="s">
        <v>36</v>
      </c>
      <c r="B44" s="3">
        <v>5673.59</v>
      </c>
      <c r="C44" s="3">
        <v>330.31199999999995</v>
      </c>
      <c r="D44" s="3">
        <v>6003.902</v>
      </c>
      <c r="E44" s="3">
        <v>5576.7249999999995</v>
      </c>
      <c r="F44" s="3">
        <v>94.720999999999989</v>
      </c>
      <c r="G44" s="3">
        <v>5671.445999999999</v>
      </c>
      <c r="H44" s="4"/>
      <c r="I44" s="4"/>
      <c r="J44" s="5"/>
    </row>
    <row r="45" spans="1:10" x14ac:dyDescent="0.3">
      <c r="A45" s="6" t="s">
        <v>54</v>
      </c>
      <c r="B45" s="7">
        <v>5623.9299999999994</v>
      </c>
      <c r="C45" s="7">
        <v>19.148</v>
      </c>
      <c r="D45" s="7">
        <v>5643.0779999999995</v>
      </c>
      <c r="E45" s="7">
        <v>6472.3450000000003</v>
      </c>
      <c r="F45" s="7">
        <v>110.69399999999999</v>
      </c>
      <c r="G45" s="7">
        <v>6583.0390000000007</v>
      </c>
      <c r="H45" s="8"/>
      <c r="I45" s="8"/>
      <c r="J45" s="9"/>
    </row>
    <row r="46" spans="1:10" x14ac:dyDescent="0.3">
      <c r="A46" s="10" t="s">
        <v>55</v>
      </c>
      <c r="B46" s="3">
        <v>3227.0130000000004</v>
      </c>
      <c r="C46" s="3">
        <v>15.392999999999999</v>
      </c>
      <c r="D46" s="3">
        <v>3242.4060000000004</v>
      </c>
      <c r="E46" s="3">
        <v>4365.6509999999998</v>
      </c>
      <c r="F46" s="3">
        <v>26.106999999999999</v>
      </c>
      <c r="G46" s="3">
        <v>4391.7579999999998</v>
      </c>
      <c r="H46" s="4"/>
      <c r="I46" s="4"/>
      <c r="J46" s="5"/>
    </row>
    <row r="47" spans="1:10" x14ac:dyDescent="0.3">
      <c r="A47" s="6" t="s">
        <v>38</v>
      </c>
      <c r="B47" s="7">
        <v>6696.8770000000004</v>
      </c>
      <c r="C47" s="7">
        <v>416.44299999999993</v>
      </c>
      <c r="D47" s="7">
        <v>7113.3200000000006</v>
      </c>
      <c r="E47" s="7">
        <v>7829.0249999999996</v>
      </c>
      <c r="F47" s="7">
        <v>522.93799999999999</v>
      </c>
      <c r="G47" s="7">
        <v>8351.9629999999997</v>
      </c>
      <c r="H47" s="8"/>
      <c r="I47" s="8"/>
      <c r="J47" s="9"/>
    </row>
    <row r="48" spans="1:10" x14ac:dyDescent="0.3">
      <c r="A48" s="10" t="s">
        <v>56</v>
      </c>
      <c r="B48" s="3">
        <v>3788.9229999999998</v>
      </c>
      <c r="C48" s="3">
        <v>24.925999999999998</v>
      </c>
      <c r="D48" s="3">
        <v>3813.8489999999997</v>
      </c>
      <c r="E48" s="3">
        <v>7173.8730000000014</v>
      </c>
      <c r="F48" s="3">
        <v>135.26</v>
      </c>
      <c r="G48" s="3">
        <v>7309.1330000000016</v>
      </c>
      <c r="H48" s="4"/>
      <c r="I48" s="4"/>
      <c r="J48" s="5"/>
    </row>
    <row r="49" spans="1:10" x14ac:dyDescent="0.3">
      <c r="A49" s="6" t="s">
        <v>39</v>
      </c>
      <c r="B49" s="7">
        <v>8897.7900000000009</v>
      </c>
      <c r="C49" s="7">
        <v>3825.739</v>
      </c>
      <c r="D49" s="7">
        <v>12723.529</v>
      </c>
      <c r="E49" s="7">
        <v>9740.9110000000001</v>
      </c>
      <c r="F49" s="7">
        <v>4028.96</v>
      </c>
      <c r="G49" s="7">
        <v>13769.870999999999</v>
      </c>
      <c r="H49" s="8"/>
      <c r="I49" s="8"/>
      <c r="J49" s="9"/>
    </row>
    <row r="50" spans="1:10" x14ac:dyDescent="0.3">
      <c r="A50" s="10" t="s">
        <v>40</v>
      </c>
      <c r="B50" s="3">
        <v>483.92099999999999</v>
      </c>
      <c r="C50" s="3">
        <v>0</v>
      </c>
      <c r="D50" s="3">
        <v>483.92099999999999</v>
      </c>
      <c r="E50" s="3">
        <v>594.40300000000002</v>
      </c>
      <c r="F50" s="3">
        <v>0</v>
      </c>
      <c r="G50" s="3">
        <v>594.40300000000002</v>
      </c>
      <c r="H50" s="4"/>
      <c r="I50" s="4"/>
      <c r="J50" s="5"/>
    </row>
    <row r="51" spans="1:10" x14ac:dyDescent="0.3">
      <c r="A51" s="6" t="s">
        <v>41</v>
      </c>
      <c r="B51" s="7">
        <v>679.88800000000003</v>
      </c>
      <c r="C51" s="7">
        <v>0</v>
      </c>
      <c r="D51" s="7">
        <v>679.88800000000003</v>
      </c>
      <c r="E51" s="7">
        <v>821.71799999999996</v>
      </c>
      <c r="F51" s="7">
        <v>6.8979999999999997</v>
      </c>
      <c r="G51" s="7">
        <v>828.61599999999999</v>
      </c>
      <c r="H51" s="8"/>
      <c r="I51" s="8"/>
      <c r="J51" s="9"/>
    </row>
    <row r="52" spans="1:10" x14ac:dyDescent="0.3">
      <c r="A52" s="10" t="s">
        <v>42</v>
      </c>
      <c r="B52" s="3">
        <v>3338.1800000000003</v>
      </c>
      <c r="C52" s="3">
        <v>39.475999999999999</v>
      </c>
      <c r="D52" s="3">
        <v>3377.6560000000004</v>
      </c>
      <c r="E52" s="3">
        <v>3494.4330000000004</v>
      </c>
      <c r="F52" s="3">
        <v>91.286000000000001</v>
      </c>
      <c r="G52" s="3">
        <v>3585.7190000000005</v>
      </c>
      <c r="H52" s="4"/>
      <c r="I52" s="4"/>
      <c r="J52" s="5"/>
    </row>
    <row r="53" spans="1:10" x14ac:dyDescent="0.3">
      <c r="A53" s="6" t="s">
        <v>57</v>
      </c>
      <c r="B53" s="7">
        <v>4863.134</v>
      </c>
      <c r="C53" s="7">
        <v>132.96099999999998</v>
      </c>
      <c r="D53" s="7">
        <v>4996.0950000000003</v>
      </c>
      <c r="E53" s="7">
        <v>6113.6170000000002</v>
      </c>
      <c r="F53" s="7">
        <v>460.6169999999999</v>
      </c>
      <c r="G53" s="7">
        <v>6574.2340000000004</v>
      </c>
      <c r="H53" s="8"/>
      <c r="I53" s="8"/>
      <c r="J53" s="9"/>
    </row>
    <row r="54" spans="1:10" x14ac:dyDescent="0.3">
      <c r="A54" s="10" t="s">
        <v>43</v>
      </c>
      <c r="B54" s="3">
        <v>2905.2159999999999</v>
      </c>
      <c r="C54" s="3">
        <v>0</v>
      </c>
      <c r="D54" s="3">
        <v>2905.2159999999999</v>
      </c>
      <c r="E54" s="3">
        <v>3845.9659999999994</v>
      </c>
      <c r="F54" s="3">
        <v>0</v>
      </c>
      <c r="G54" s="3">
        <v>3845.9659999999994</v>
      </c>
      <c r="H54" s="4"/>
      <c r="I54" s="4"/>
      <c r="J54" s="5"/>
    </row>
    <row r="55" spans="1:10" x14ac:dyDescent="0.3">
      <c r="A55" s="6" t="s">
        <v>52</v>
      </c>
      <c r="B55" s="7">
        <v>207.29400000000004</v>
      </c>
      <c r="C55" s="7">
        <v>2201.4500000000003</v>
      </c>
      <c r="D55" s="7">
        <v>2408.7440000000001</v>
      </c>
      <c r="E55" s="7">
        <v>230.33100000000002</v>
      </c>
      <c r="F55" s="7">
        <v>855.39099999999985</v>
      </c>
      <c r="G55" s="7">
        <v>1085.7219999999998</v>
      </c>
      <c r="H55" s="8"/>
      <c r="I55" s="8"/>
      <c r="J55" s="9"/>
    </row>
    <row r="56" spans="1:10" x14ac:dyDescent="0.3">
      <c r="A56" s="10" t="s">
        <v>44</v>
      </c>
      <c r="B56" s="3">
        <v>758.01299999999992</v>
      </c>
      <c r="C56" s="3">
        <v>17.158000000000001</v>
      </c>
      <c r="D56" s="3">
        <v>775.17099999999994</v>
      </c>
      <c r="E56" s="3">
        <v>1227.4599999999998</v>
      </c>
      <c r="F56" s="3">
        <v>69.102000000000004</v>
      </c>
      <c r="G56" s="3">
        <v>1296.5619999999999</v>
      </c>
      <c r="H56" s="4"/>
      <c r="I56" s="4"/>
      <c r="J56" s="5"/>
    </row>
    <row r="57" spans="1:10" x14ac:dyDescent="0.3">
      <c r="A57" s="6" t="s">
        <v>45</v>
      </c>
      <c r="B57" s="7">
        <v>0</v>
      </c>
      <c r="C57" s="7">
        <v>0</v>
      </c>
      <c r="D57" s="7">
        <v>0</v>
      </c>
      <c r="E57" s="42">
        <v>0.45</v>
      </c>
      <c r="F57" s="42">
        <v>0.248</v>
      </c>
      <c r="G57" s="7">
        <v>0.69799999999999995</v>
      </c>
      <c r="H57" s="8"/>
      <c r="I57" s="8"/>
      <c r="J57" s="9"/>
    </row>
    <row r="58" spans="1:10" x14ac:dyDescent="0.3">
      <c r="A58" s="10" t="s">
        <v>46</v>
      </c>
      <c r="B58" s="3">
        <v>12451.024000000001</v>
      </c>
      <c r="C58" s="3">
        <v>13.232999999999999</v>
      </c>
      <c r="D58" s="3">
        <v>12464.257000000001</v>
      </c>
      <c r="E58" s="3">
        <v>14667.046</v>
      </c>
      <c r="F58" s="3">
        <v>65.042999999999992</v>
      </c>
      <c r="G58" s="3">
        <v>14732.089</v>
      </c>
      <c r="H58" s="4"/>
      <c r="I58" s="4"/>
      <c r="J58" s="5"/>
    </row>
    <row r="59" spans="1:10" x14ac:dyDescent="0.3">
      <c r="A59" s="6" t="s">
        <v>63</v>
      </c>
      <c r="B59" s="7">
        <v>265.58900000000006</v>
      </c>
      <c r="C59" s="7">
        <v>516.59799999999996</v>
      </c>
      <c r="D59" s="7">
        <v>782.18700000000001</v>
      </c>
      <c r="E59" s="7">
        <v>335.31899999999996</v>
      </c>
      <c r="F59" s="7">
        <v>982.99199999999996</v>
      </c>
      <c r="G59" s="7">
        <v>1318.3109999999999</v>
      </c>
      <c r="H59" s="8"/>
      <c r="I59" s="8"/>
      <c r="J59" s="9"/>
    </row>
    <row r="60" spans="1:10" x14ac:dyDescent="0.3">
      <c r="A60" s="10" t="s">
        <v>64</v>
      </c>
      <c r="B60" s="3">
        <v>143.285</v>
      </c>
      <c r="C60" s="3">
        <v>1884.758</v>
      </c>
      <c r="D60" s="3">
        <v>2028.0430000000001</v>
      </c>
      <c r="E60" s="3">
        <v>230.94200000000001</v>
      </c>
      <c r="F60" s="3">
        <v>2043.193</v>
      </c>
      <c r="G60" s="3">
        <v>2274.1350000000002</v>
      </c>
      <c r="H60" s="4"/>
      <c r="I60" s="4"/>
      <c r="J60" s="5"/>
    </row>
    <row r="61" spans="1:10" x14ac:dyDescent="0.3">
      <c r="A61" s="11"/>
      <c r="B61" s="22"/>
      <c r="C61" s="22"/>
      <c r="D61" s="22"/>
      <c r="E61" s="22"/>
      <c r="F61" s="22"/>
      <c r="G61" s="22"/>
      <c r="H61" s="23"/>
      <c r="I61" s="23"/>
      <c r="J61" s="23"/>
    </row>
    <row r="62" spans="1:10" x14ac:dyDescent="0.3">
      <c r="A62" s="14"/>
      <c r="B62" s="24"/>
      <c r="C62" s="24"/>
      <c r="D62" s="24"/>
      <c r="E62" s="24"/>
      <c r="F62" s="24"/>
      <c r="G62" s="24"/>
      <c r="H62" s="25"/>
      <c r="I62" s="25"/>
      <c r="J62" s="25"/>
    </row>
    <row r="63" spans="1:10" x14ac:dyDescent="0.3">
      <c r="A63" s="26"/>
      <c r="B63" s="27"/>
      <c r="C63" s="27"/>
      <c r="D63" s="27"/>
      <c r="E63" s="27"/>
      <c r="F63" s="27"/>
      <c r="G63" s="27"/>
      <c r="H63" s="27"/>
      <c r="I63" s="27"/>
      <c r="J63" s="28"/>
    </row>
    <row r="64" spans="1:10" x14ac:dyDescent="0.3">
      <c r="A64" s="26"/>
      <c r="B64" s="27"/>
      <c r="C64" s="27"/>
      <c r="D64" s="27"/>
      <c r="E64" s="27"/>
      <c r="F64" s="27"/>
      <c r="G64" s="27"/>
      <c r="H64" s="27"/>
      <c r="I64" s="27"/>
      <c r="J64" s="28"/>
    </row>
    <row r="65" spans="1:10" ht="15" thickBot="1" x14ac:dyDescent="0.35">
      <c r="A65" s="29"/>
      <c r="B65" s="30"/>
      <c r="C65" s="30"/>
      <c r="D65" s="30"/>
      <c r="E65" s="30"/>
      <c r="F65" s="30"/>
      <c r="G65" s="30"/>
      <c r="H65" s="30"/>
      <c r="I65" s="30"/>
      <c r="J65" s="31"/>
    </row>
    <row r="66" spans="1:10" ht="45.75" customHeight="1" x14ac:dyDescent="0.3">
      <c r="A66" s="61"/>
      <c r="B66" s="61"/>
      <c r="C66" s="61"/>
      <c r="D66" s="61"/>
      <c r="E66" s="61"/>
      <c r="F66" s="61"/>
      <c r="G66" s="61"/>
      <c r="H66" s="61"/>
      <c r="I66" s="61"/>
      <c r="J66" s="61"/>
    </row>
    <row r="67" spans="1:10" x14ac:dyDescent="0.3">
      <c r="A67" s="39"/>
    </row>
    <row r="68" spans="1:10" x14ac:dyDescent="0.3">
      <c r="B68" s="37"/>
      <c r="C68" s="37"/>
      <c r="D68" s="37"/>
      <c r="E68" s="37"/>
      <c r="F68" s="37"/>
      <c r="G68" s="37"/>
    </row>
    <row r="69" spans="1:10" x14ac:dyDescent="0.3">
      <c r="B69" s="37"/>
      <c r="C69" s="37"/>
      <c r="D69" s="37"/>
      <c r="E69" s="37"/>
      <c r="F69" s="37"/>
      <c r="G69" s="37"/>
    </row>
    <row r="70" spans="1:10" x14ac:dyDescent="0.3">
      <c r="B70" s="43"/>
      <c r="C70" s="43"/>
      <c r="D70" s="43"/>
      <c r="E70" s="43"/>
      <c r="F70" s="43"/>
      <c r="G70" s="43"/>
    </row>
    <row r="71" spans="1:10" x14ac:dyDescent="0.3">
      <c r="B71" s="43"/>
      <c r="C71" s="43"/>
      <c r="D71" s="43"/>
      <c r="E71" s="43"/>
      <c r="F71" s="43"/>
      <c r="G71" s="43"/>
    </row>
  </sheetData>
  <mergeCells count="6">
    <mergeCell ref="A66:J66"/>
    <mergeCell ref="A1:J1"/>
    <mergeCell ref="A2:A3"/>
    <mergeCell ref="B2:D2"/>
    <mergeCell ref="E2:G2"/>
    <mergeCell ref="H2:J2"/>
  </mergeCells>
  <conditionalFormatting sqref="B4:J60">
    <cfRule type="cellIs" dxfId="1" priority="1" operator="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orientation="portrait" verticalDpi="597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1"/>
  <sheetViews>
    <sheetView topLeftCell="A40" zoomScale="64" zoomScaleNormal="64" workbookViewId="0">
      <selection activeCell="Q64" sqref="Q64"/>
    </sheetView>
  </sheetViews>
  <sheetFormatPr defaultColWidth="9.109375" defaultRowHeight="14.4" x14ac:dyDescent="0.3"/>
  <cols>
    <col min="1" max="1" width="35.5546875" style="44" customWidth="1"/>
    <col min="2" max="10" width="14.33203125" style="44" customWidth="1"/>
    <col min="11" max="16384" width="9.109375" style="44"/>
  </cols>
  <sheetData>
    <row r="1" spans="1:10" ht="18" customHeight="1" x14ac:dyDescent="0.3">
      <c r="A1" s="62" t="s">
        <v>65</v>
      </c>
      <c r="B1" s="63"/>
      <c r="C1" s="63"/>
      <c r="D1" s="63"/>
      <c r="E1" s="63"/>
      <c r="F1" s="63"/>
      <c r="G1" s="63"/>
      <c r="H1" s="63"/>
      <c r="I1" s="63"/>
      <c r="J1" s="64"/>
    </row>
    <row r="2" spans="1:10" ht="30" customHeight="1" x14ac:dyDescent="0.3">
      <c r="A2" s="76" t="s">
        <v>1</v>
      </c>
      <c r="B2" s="67" t="s">
        <v>66</v>
      </c>
      <c r="C2" s="67"/>
      <c r="D2" s="67"/>
      <c r="E2" s="67" t="s">
        <v>67</v>
      </c>
      <c r="F2" s="67"/>
      <c r="G2" s="67"/>
      <c r="H2" s="68"/>
      <c r="I2" s="68"/>
      <c r="J2" s="69"/>
    </row>
    <row r="3" spans="1:10" x14ac:dyDescent="0.3">
      <c r="A3" s="77"/>
      <c r="B3" s="1" t="s">
        <v>2</v>
      </c>
      <c r="C3" s="1" t="s">
        <v>3</v>
      </c>
      <c r="D3" s="1" t="s">
        <v>4</v>
      </c>
      <c r="E3" s="1" t="s">
        <v>2</v>
      </c>
      <c r="F3" s="1" t="s">
        <v>3</v>
      </c>
      <c r="G3" s="1" t="s">
        <v>4</v>
      </c>
      <c r="H3" s="1"/>
      <c r="I3" s="1"/>
      <c r="J3" s="2"/>
    </row>
    <row r="4" spans="1:10" x14ac:dyDescent="0.3">
      <c r="A4" s="10" t="s">
        <v>5</v>
      </c>
      <c r="B4" s="47">
        <v>249.553</v>
      </c>
      <c r="C4" s="47">
        <v>58293.421999999991</v>
      </c>
      <c r="D4" s="47">
        <f>+B4+C4</f>
        <v>58542.974999999991</v>
      </c>
      <c r="E4" s="47">
        <v>0</v>
      </c>
      <c r="F4" s="47">
        <v>0</v>
      </c>
      <c r="G4" s="47">
        <f>+F4+E4</f>
        <v>0</v>
      </c>
      <c r="H4" s="4"/>
      <c r="I4" s="4"/>
      <c r="J4" s="5"/>
    </row>
    <row r="5" spans="1:10" x14ac:dyDescent="0.3">
      <c r="A5" s="6" t="s">
        <v>58</v>
      </c>
      <c r="B5" s="48">
        <v>46120.832999999999</v>
      </c>
      <c r="C5" s="48">
        <v>1458250.7989999987</v>
      </c>
      <c r="D5" s="7">
        <f>+B5+C5</f>
        <v>1504371.6319999988</v>
      </c>
      <c r="E5" s="48">
        <v>46759.546000000002</v>
      </c>
      <c r="F5" s="48">
        <v>1505576.6810000036</v>
      </c>
      <c r="G5" s="48">
        <f>+F5+E5</f>
        <v>1552336.2270000037</v>
      </c>
      <c r="H5" s="8"/>
      <c r="I5" s="8"/>
      <c r="J5" s="9"/>
    </row>
    <row r="6" spans="1:10" x14ac:dyDescent="0.3">
      <c r="A6" s="10" t="s">
        <v>59</v>
      </c>
      <c r="B6" s="47">
        <v>5896.3229999999994</v>
      </c>
      <c r="C6" s="47">
        <v>39057.327000000005</v>
      </c>
      <c r="D6" s="49">
        <f t="shared" ref="D6:D60" si="0">+B6+C6</f>
        <v>44953.65</v>
      </c>
      <c r="E6" s="47">
        <v>6322.8129999999992</v>
      </c>
      <c r="F6" s="47">
        <v>44579.814999999973</v>
      </c>
      <c r="G6" s="47">
        <f t="shared" ref="G6:G60" si="1">+F6+E6</f>
        <v>50902.627999999975</v>
      </c>
      <c r="H6" s="4"/>
      <c r="I6" s="4"/>
      <c r="J6" s="5"/>
    </row>
    <row r="7" spans="1:10" x14ac:dyDescent="0.3">
      <c r="A7" s="6" t="s">
        <v>6</v>
      </c>
      <c r="B7" s="48">
        <v>8979.0810000000019</v>
      </c>
      <c r="C7" s="48">
        <v>4796.4600000000019</v>
      </c>
      <c r="D7" s="7">
        <f t="shared" si="0"/>
        <v>13775.541000000005</v>
      </c>
      <c r="E7" s="48">
        <v>9083.9169999999976</v>
      </c>
      <c r="F7" s="48">
        <v>2634.4430000000007</v>
      </c>
      <c r="G7" s="48">
        <f t="shared" si="1"/>
        <v>11718.359999999999</v>
      </c>
      <c r="H7" s="41"/>
      <c r="I7" s="8"/>
      <c r="J7" s="9"/>
    </row>
    <row r="8" spans="1:10" x14ac:dyDescent="0.3">
      <c r="A8" s="10" t="s">
        <v>7</v>
      </c>
      <c r="B8" s="47">
        <v>23279.839000000004</v>
      </c>
      <c r="C8" s="47">
        <v>3560.1869999999994</v>
      </c>
      <c r="D8" s="49">
        <f t="shared" si="0"/>
        <v>26840.026000000002</v>
      </c>
      <c r="E8" s="47">
        <v>25687.16</v>
      </c>
      <c r="F8" s="47">
        <v>2626.6619999999994</v>
      </c>
      <c r="G8" s="47">
        <f t="shared" si="1"/>
        <v>28313.822</v>
      </c>
      <c r="H8" s="4"/>
      <c r="I8" s="4"/>
      <c r="J8" s="5"/>
    </row>
    <row r="9" spans="1:10" x14ac:dyDescent="0.3">
      <c r="A9" s="6" t="s">
        <v>8</v>
      </c>
      <c r="B9" s="48">
        <v>6053.8020000000033</v>
      </c>
      <c r="C9" s="48">
        <v>5523.7290000000066</v>
      </c>
      <c r="D9" s="7">
        <f t="shared" si="0"/>
        <v>11577.53100000001</v>
      </c>
      <c r="E9" s="48">
        <v>6779.0390000000025</v>
      </c>
      <c r="F9" s="48">
        <v>3923.1489999999994</v>
      </c>
      <c r="G9" s="48">
        <f t="shared" si="1"/>
        <v>10702.188000000002</v>
      </c>
      <c r="H9" s="8"/>
      <c r="I9" s="8"/>
      <c r="J9" s="9"/>
    </row>
    <row r="10" spans="1:10" x14ac:dyDescent="0.3">
      <c r="A10" s="10" t="s">
        <v>60</v>
      </c>
      <c r="B10" s="47">
        <v>1.9409999999999996</v>
      </c>
      <c r="C10" s="47">
        <v>0</v>
      </c>
      <c r="D10" s="49">
        <f t="shared" si="0"/>
        <v>1.9409999999999996</v>
      </c>
      <c r="E10" s="47">
        <v>1.3849999999999996</v>
      </c>
      <c r="F10" s="47">
        <v>0</v>
      </c>
      <c r="G10" s="47">
        <f t="shared" si="1"/>
        <v>1.3849999999999996</v>
      </c>
      <c r="H10" s="4"/>
      <c r="I10" s="4"/>
      <c r="J10" s="5"/>
    </row>
    <row r="11" spans="1:10" x14ac:dyDescent="0.3">
      <c r="A11" s="6" t="s">
        <v>9</v>
      </c>
      <c r="B11" s="48">
        <v>78.509</v>
      </c>
      <c r="C11" s="48">
        <v>97.176999999999992</v>
      </c>
      <c r="D11" s="7">
        <f t="shared" si="0"/>
        <v>175.68599999999998</v>
      </c>
      <c r="E11" s="48">
        <v>115.07999999999998</v>
      </c>
      <c r="F11" s="48">
        <v>0.32600000000000001</v>
      </c>
      <c r="G11" s="48">
        <f t="shared" si="1"/>
        <v>115.40599999999998</v>
      </c>
      <c r="H11" s="8"/>
      <c r="I11" s="8"/>
      <c r="J11" s="9"/>
    </row>
    <row r="12" spans="1:10" x14ac:dyDescent="0.3">
      <c r="A12" s="10" t="s">
        <v>10</v>
      </c>
      <c r="B12" s="47">
        <v>256.13299999999998</v>
      </c>
      <c r="C12" s="47">
        <v>35.557000000000002</v>
      </c>
      <c r="D12" s="49">
        <f t="shared" si="0"/>
        <v>291.69</v>
      </c>
      <c r="E12" s="47">
        <v>256.00900000000007</v>
      </c>
      <c r="F12" s="47">
        <v>0.216</v>
      </c>
      <c r="G12" s="47">
        <f t="shared" si="1"/>
        <v>256.22500000000008</v>
      </c>
      <c r="H12" s="4"/>
      <c r="I12" s="4"/>
      <c r="J12" s="5"/>
    </row>
    <row r="13" spans="1:10" x14ac:dyDescent="0.3">
      <c r="A13" s="6" t="s">
        <v>11</v>
      </c>
      <c r="B13" s="48">
        <v>6583.4479999999994</v>
      </c>
      <c r="C13" s="48">
        <v>1515.3049999999998</v>
      </c>
      <c r="D13" s="7">
        <f t="shared" si="0"/>
        <v>8098.7529999999988</v>
      </c>
      <c r="E13" s="48">
        <v>5047.8769999999995</v>
      </c>
      <c r="F13" s="48">
        <v>289.18899999999996</v>
      </c>
      <c r="G13" s="48">
        <f t="shared" si="1"/>
        <v>5337.0659999999998</v>
      </c>
      <c r="H13" s="8"/>
      <c r="I13" s="8"/>
      <c r="J13" s="9"/>
    </row>
    <row r="14" spans="1:10" x14ac:dyDescent="0.3">
      <c r="A14" s="10" t="s">
        <v>12</v>
      </c>
      <c r="B14" s="47">
        <v>863.20999999999981</v>
      </c>
      <c r="C14" s="47">
        <v>64.222999999999985</v>
      </c>
      <c r="D14" s="49">
        <f t="shared" si="0"/>
        <v>927.43299999999977</v>
      </c>
      <c r="E14" s="47">
        <v>794.74100000000021</v>
      </c>
      <c r="F14" s="47">
        <v>27.476999999999997</v>
      </c>
      <c r="G14" s="47">
        <f t="shared" si="1"/>
        <v>822.21800000000019</v>
      </c>
      <c r="H14" s="4"/>
      <c r="I14" s="4"/>
      <c r="J14" s="5"/>
    </row>
    <row r="15" spans="1:10" x14ac:dyDescent="0.3">
      <c r="A15" s="6" t="s">
        <v>13</v>
      </c>
      <c r="B15" s="48">
        <v>223.06200000000001</v>
      </c>
      <c r="C15" s="48">
        <v>0</v>
      </c>
      <c r="D15" s="7">
        <f t="shared" si="0"/>
        <v>223.06200000000001</v>
      </c>
      <c r="E15" s="48">
        <v>48.924000000000007</v>
      </c>
      <c r="F15" s="48">
        <v>0</v>
      </c>
      <c r="G15" s="48">
        <f t="shared" si="1"/>
        <v>48.924000000000007</v>
      </c>
      <c r="H15" s="8"/>
      <c r="I15" s="8"/>
      <c r="J15" s="9"/>
    </row>
    <row r="16" spans="1:10" x14ac:dyDescent="0.3">
      <c r="A16" s="10" t="s">
        <v>14</v>
      </c>
      <c r="B16" s="47">
        <v>1561.96</v>
      </c>
      <c r="C16" s="47">
        <v>49.385000000000012</v>
      </c>
      <c r="D16" s="49">
        <f t="shared" si="0"/>
        <v>1611.345</v>
      </c>
      <c r="E16" s="47">
        <v>1510.0830000000001</v>
      </c>
      <c r="F16" s="47">
        <v>63.114999999999995</v>
      </c>
      <c r="G16" s="47">
        <f t="shared" si="1"/>
        <v>1573.1980000000001</v>
      </c>
      <c r="H16" s="4"/>
      <c r="I16" s="4"/>
      <c r="J16" s="5"/>
    </row>
    <row r="17" spans="1:10" x14ac:dyDescent="0.3">
      <c r="A17" s="6" t="s">
        <v>15</v>
      </c>
      <c r="B17" s="48">
        <v>143.33599999999998</v>
      </c>
      <c r="C17" s="48">
        <v>0</v>
      </c>
      <c r="D17" s="7">
        <f t="shared" si="0"/>
        <v>143.33599999999998</v>
      </c>
      <c r="E17" s="48">
        <v>108.26299999999999</v>
      </c>
      <c r="F17" s="48">
        <v>0</v>
      </c>
      <c r="G17" s="48">
        <f t="shared" si="1"/>
        <v>108.26299999999999</v>
      </c>
      <c r="H17" s="8"/>
      <c r="I17" s="8"/>
      <c r="J17" s="9"/>
    </row>
    <row r="18" spans="1:10" x14ac:dyDescent="0.3">
      <c r="A18" s="10" t="s">
        <v>16</v>
      </c>
      <c r="B18" s="47">
        <v>13.427999999999997</v>
      </c>
      <c r="C18" s="47">
        <v>0</v>
      </c>
      <c r="D18" s="49">
        <f t="shared" si="0"/>
        <v>13.427999999999997</v>
      </c>
      <c r="E18" s="47">
        <v>29.817</v>
      </c>
      <c r="F18" s="47">
        <v>0</v>
      </c>
      <c r="G18" s="47">
        <f t="shared" si="1"/>
        <v>29.817</v>
      </c>
      <c r="H18" s="4"/>
      <c r="I18" s="40"/>
      <c r="J18" s="5"/>
    </row>
    <row r="19" spans="1:10" x14ac:dyDescent="0.3">
      <c r="A19" s="6" t="s">
        <v>17</v>
      </c>
      <c r="B19" s="48">
        <v>31.116000000000003</v>
      </c>
      <c r="C19" s="48">
        <v>0</v>
      </c>
      <c r="D19" s="7">
        <f t="shared" si="0"/>
        <v>31.116000000000003</v>
      </c>
      <c r="E19" s="48">
        <v>37.359999999999992</v>
      </c>
      <c r="F19" s="48">
        <v>0</v>
      </c>
      <c r="G19" s="48">
        <f t="shared" si="1"/>
        <v>37.359999999999992</v>
      </c>
      <c r="H19" s="8"/>
      <c r="I19" s="8"/>
      <c r="J19" s="9"/>
    </row>
    <row r="20" spans="1:10" x14ac:dyDescent="0.3">
      <c r="A20" s="10" t="s">
        <v>61</v>
      </c>
      <c r="B20" s="47"/>
      <c r="C20" s="47"/>
      <c r="D20" s="49"/>
      <c r="E20" s="47">
        <v>0</v>
      </c>
      <c r="F20" s="47">
        <v>0</v>
      </c>
      <c r="G20" s="47">
        <f t="shared" si="1"/>
        <v>0</v>
      </c>
      <c r="H20" s="4"/>
      <c r="I20" s="4"/>
      <c r="J20" s="5"/>
    </row>
    <row r="21" spans="1:10" x14ac:dyDescent="0.3">
      <c r="A21" s="6" t="s">
        <v>18</v>
      </c>
      <c r="B21" s="48">
        <v>0.13200000000000001</v>
      </c>
      <c r="C21" s="48">
        <v>0</v>
      </c>
      <c r="D21" s="42">
        <f t="shared" si="0"/>
        <v>0.13200000000000001</v>
      </c>
      <c r="E21" s="48">
        <v>1.5449999999999997</v>
      </c>
      <c r="F21" s="48">
        <v>0</v>
      </c>
      <c r="G21" s="48">
        <f t="shared" si="1"/>
        <v>1.5449999999999997</v>
      </c>
      <c r="H21" s="8"/>
      <c r="I21" s="8"/>
      <c r="J21" s="9"/>
    </row>
    <row r="22" spans="1:10" x14ac:dyDescent="0.3">
      <c r="A22" s="10" t="s">
        <v>19</v>
      </c>
      <c r="B22" s="47"/>
      <c r="C22" s="47"/>
      <c r="D22" s="49"/>
      <c r="E22" s="47">
        <v>0</v>
      </c>
      <c r="F22" s="47">
        <v>0</v>
      </c>
      <c r="G22" s="47">
        <f t="shared" si="1"/>
        <v>0</v>
      </c>
      <c r="H22" s="4"/>
      <c r="I22" s="4"/>
      <c r="J22" s="5"/>
    </row>
    <row r="23" spans="1:10" x14ac:dyDescent="0.3">
      <c r="A23" s="6" t="s">
        <v>20</v>
      </c>
      <c r="B23" s="48">
        <v>625.61500000000001</v>
      </c>
      <c r="C23" s="48">
        <v>0</v>
      </c>
      <c r="D23" s="7">
        <f t="shared" si="0"/>
        <v>625.61500000000001</v>
      </c>
      <c r="E23" s="48">
        <v>1062.905</v>
      </c>
      <c r="F23" s="48">
        <v>0</v>
      </c>
      <c r="G23" s="48">
        <f t="shared" si="1"/>
        <v>1062.905</v>
      </c>
      <c r="H23" s="8"/>
      <c r="I23" s="8"/>
      <c r="J23" s="9"/>
    </row>
    <row r="24" spans="1:10" x14ac:dyDescent="0.3">
      <c r="A24" s="10" t="s">
        <v>21</v>
      </c>
      <c r="B24" s="47">
        <v>7.4029999999999996</v>
      </c>
      <c r="C24" s="47">
        <v>0</v>
      </c>
      <c r="D24" s="49">
        <f t="shared" si="0"/>
        <v>7.4029999999999996</v>
      </c>
      <c r="E24" s="47">
        <v>9.8209999999999997</v>
      </c>
      <c r="F24" s="47">
        <v>0</v>
      </c>
      <c r="G24" s="47">
        <f t="shared" si="1"/>
        <v>9.8209999999999997</v>
      </c>
      <c r="H24" s="4"/>
      <c r="I24" s="4"/>
      <c r="J24" s="5"/>
    </row>
    <row r="25" spans="1:10" x14ac:dyDescent="0.3">
      <c r="A25" s="6" t="s">
        <v>22</v>
      </c>
      <c r="B25" s="48">
        <v>1.8989999999999998</v>
      </c>
      <c r="C25" s="48">
        <v>121.20299999999999</v>
      </c>
      <c r="D25" s="7">
        <f t="shared" si="0"/>
        <v>123.10199999999999</v>
      </c>
      <c r="E25" s="48">
        <v>0.22800000000000001</v>
      </c>
      <c r="F25" s="48">
        <v>0</v>
      </c>
      <c r="G25" s="48">
        <f t="shared" si="1"/>
        <v>0.22800000000000001</v>
      </c>
      <c r="H25" s="8"/>
      <c r="I25" s="8"/>
      <c r="J25" s="9"/>
    </row>
    <row r="26" spans="1:10" x14ac:dyDescent="0.3">
      <c r="A26" s="10" t="s">
        <v>23</v>
      </c>
      <c r="B26" s="47">
        <v>4.0470000000000006</v>
      </c>
      <c r="C26" s="47">
        <v>0</v>
      </c>
      <c r="D26" s="49">
        <f t="shared" si="0"/>
        <v>4.0470000000000006</v>
      </c>
      <c r="E26" s="47">
        <v>1.7810000000000001</v>
      </c>
      <c r="F26" s="47">
        <v>0</v>
      </c>
      <c r="G26" s="47">
        <f t="shared" si="1"/>
        <v>1.7810000000000001</v>
      </c>
      <c r="H26" s="4"/>
      <c r="I26" s="4"/>
      <c r="J26" s="5"/>
    </row>
    <row r="27" spans="1:10" x14ac:dyDescent="0.3">
      <c r="A27" s="6" t="s">
        <v>24</v>
      </c>
      <c r="B27" s="48"/>
      <c r="C27" s="48"/>
      <c r="D27" s="50"/>
      <c r="E27" s="48">
        <v>0</v>
      </c>
      <c r="F27" s="48">
        <v>0</v>
      </c>
      <c r="G27" s="48">
        <f t="shared" si="1"/>
        <v>0</v>
      </c>
      <c r="H27" s="8"/>
      <c r="I27" s="8"/>
      <c r="J27" s="9"/>
    </row>
    <row r="28" spans="1:10" x14ac:dyDescent="0.3">
      <c r="A28" s="10" t="s">
        <v>25</v>
      </c>
      <c r="B28" s="47">
        <v>236.37699999999995</v>
      </c>
      <c r="C28" s="47">
        <v>0</v>
      </c>
      <c r="D28" s="49">
        <f t="shared" si="0"/>
        <v>236.37699999999995</v>
      </c>
      <c r="E28" s="47">
        <v>355.42399999999998</v>
      </c>
      <c r="F28" s="47">
        <v>0</v>
      </c>
      <c r="G28" s="47">
        <f t="shared" si="1"/>
        <v>355.42399999999998</v>
      </c>
      <c r="H28" s="4"/>
      <c r="I28" s="4"/>
      <c r="J28" s="5"/>
    </row>
    <row r="29" spans="1:10" x14ac:dyDescent="0.3">
      <c r="A29" s="6" t="s">
        <v>26</v>
      </c>
      <c r="B29" s="48">
        <v>744.44999999999982</v>
      </c>
      <c r="C29" s="48">
        <v>55.419000000000004</v>
      </c>
      <c r="D29" s="7">
        <f t="shared" si="0"/>
        <v>799.8689999999998</v>
      </c>
      <c r="E29" s="48">
        <v>1367.5949999999996</v>
      </c>
      <c r="F29" s="48">
        <v>5.0389999999999997</v>
      </c>
      <c r="G29" s="48">
        <f t="shared" si="1"/>
        <v>1372.6339999999996</v>
      </c>
      <c r="H29" s="8"/>
      <c r="I29" s="8"/>
      <c r="J29" s="9"/>
    </row>
    <row r="30" spans="1:10" x14ac:dyDescent="0.3">
      <c r="A30" s="10" t="s">
        <v>27</v>
      </c>
      <c r="B30" s="47">
        <v>164.46099999999996</v>
      </c>
      <c r="C30" s="47">
        <v>0.09</v>
      </c>
      <c r="D30" s="49">
        <f t="shared" si="0"/>
        <v>164.55099999999996</v>
      </c>
      <c r="E30" s="47">
        <v>180.05100000000002</v>
      </c>
      <c r="F30" s="47">
        <v>0.46099999999999997</v>
      </c>
      <c r="G30" s="47">
        <f t="shared" si="1"/>
        <v>180.51200000000003</v>
      </c>
      <c r="H30" s="4"/>
      <c r="I30" s="4"/>
      <c r="J30" s="5"/>
    </row>
    <row r="31" spans="1:10" x14ac:dyDescent="0.3">
      <c r="A31" s="6" t="s">
        <v>53</v>
      </c>
      <c r="B31" s="48">
        <v>57.873000000000005</v>
      </c>
      <c r="C31" s="48">
        <v>0</v>
      </c>
      <c r="D31" s="7">
        <f t="shared" si="0"/>
        <v>57.873000000000005</v>
      </c>
      <c r="E31" s="48">
        <v>53.331999999999994</v>
      </c>
      <c r="F31" s="48">
        <v>0</v>
      </c>
      <c r="G31" s="48">
        <f t="shared" si="1"/>
        <v>53.331999999999994</v>
      </c>
      <c r="H31" s="8"/>
      <c r="I31" s="8"/>
      <c r="J31" s="9"/>
    </row>
    <row r="32" spans="1:10" x14ac:dyDescent="0.3">
      <c r="A32" s="10" t="s">
        <v>62</v>
      </c>
      <c r="B32" s="47">
        <v>0</v>
      </c>
      <c r="C32" s="47">
        <v>1.006</v>
      </c>
      <c r="D32" s="51">
        <f t="shared" si="0"/>
        <v>1.006</v>
      </c>
      <c r="E32" s="47">
        <v>0</v>
      </c>
      <c r="F32" s="47">
        <v>0.84</v>
      </c>
      <c r="G32" s="47">
        <f t="shared" si="1"/>
        <v>0.84</v>
      </c>
      <c r="H32" s="4"/>
      <c r="I32" s="4"/>
      <c r="J32" s="5"/>
    </row>
    <row r="33" spans="1:10" x14ac:dyDescent="0.3">
      <c r="A33" s="6" t="s">
        <v>51</v>
      </c>
      <c r="B33" s="48">
        <v>0</v>
      </c>
      <c r="C33" s="48">
        <v>0</v>
      </c>
      <c r="D33" s="50">
        <f t="shared" si="0"/>
        <v>0</v>
      </c>
      <c r="E33" s="48">
        <v>8.8999999999999996E-2</v>
      </c>
      <c r="F33" s="48">
        <v>0</v>
      </c>
      <c r="G33" s="48">
        <f t="shared" si="1"/>
        <v>8.8999999999999996E-2</v>
      </c>
      <c r="H33" s="8"/>
      <c r="I33" s="8"/>
      <c r="J33" s="9"/>
    </row>
    <row r="34" spans="1:10" x14ac:dyDescent="0.3">
      <c r="A34" s="10" t="s">
        <v>28</v>
      </c>
      <c r="B34" s="47">
        <v>76.988000000000028</v>
      </c>
      <c r="C34" s="47">
        <v>1.44</v>
      </c>
      <c r="D34" s="52">
        <f t="shared" si="0"/>
        <v>78.428000000000026</v>
      </c>
      <c r="E34" s="47">
        <v>10.677000000000001</v>
      </c>
      <c r="F34" s="47">
        <v>0.24</v>
      </c>
      <c r="G34" s="47">
        <f t="shared" si="1"/>
        <v>10.917000000000002</v>
      </c>
      <c r="H34" s="4"/>
      <c r="I34" s="4"/>
      <c r="J34" s="5"/>
    </row>
    <row r="35" spans="1:10" x14ac:dyDescent="0.3">
      <c r="A35" s="6" t="s">
        <v>50</v>
      </c>
      <c r="B35" s="48">
        <v>4.0390000000000006</v>
      </c>
      <c r="C35" s="48">
        <v>0</v>
      </c>
      <c r="D35" s="7">
        <f t="shared" si="0"/>
        <v>4.0390000000000006</v>
      </c>
      <c r="E35" s="48">
        <v>2.7039999999999993</v>
      </c>
      <c r="F35" s="48">
        <v>0</v>
      </c>
      <c r="G35" s="48">
        <f t="shared" si="1"/>
        <v>2.7039999999999993</v>
      </c>
      <c r="H35" s="8"/>
      <c r="I35" s="8"/>
      <c r="J35" s="9"/>
    </row>
    <row r="36" spans="1:10" x14ac:dyDescent="0.3">
      <c r="A36" s="10" t="s">
        <v>29</v>
      </c>
      <c r="B36" s="47">
        <v>2.0909999999999993</v>
      </c>
      <c r="C36" s="47">
        <v>0</v>
      </c>
      <c r="D36" s="49">
        <f t="shared" si="0"/>
        <v>2.0909999999999993</v>
      </c>
      <c r="E36" s="47">
        <v>2.093</v>
      </c>
      <c r="F36" s="47">
        <v>0</v>
      </c>
      <c r="G36" s="47">
        <f t="shared" si="1"/>
        <v>2.093</v>
      </c>
      <c r="H36" s="4"/>
      <c r="I36" s="4"/>
      <c r="J36" s="5"/>
    </row>
    <row r="37" spans="1:10" x14ac:dyDescent="0.3">
      <c r="A37" s="6" t="s">
        <v>30</v>
      </c>
      <c r="B37" s="48">
        <v>64.783999999999992</v>
      </c>
      <c r="C37" s="48">
        <v>0</v>
      </c>
      <c r="D37" s="7">
        <f t="shared" si="0"/>
        <v>64.783999999999992</v>
      </c>
      <c r="E37" s="48">
        <v>83.049000000000007</v>
      </c>
      <c r="F37" s="48">
        <v>0</v>
      </c>
      <c r="G37" s="48">
        <f t="shared" si="1"/>
        <v>83.049000000000007</v>
      </c>
      <c r="H37" s="8"/>
      <c r="I37" s="8"/>
      <c r="J37" s="9"/>
    </row>
    <row r="38" spans="1:10" x14ac:dyDescent="0.3">
      <c r="A38" s="10" t="s">
        <v>37</v>
      </c>
      <c r="B38" s="47">
        <v>23.148000000000007</v>
      </c>
      <c r="C38" s="47">
        <v>0</v>
      </c>
      <c r="D38" s="52">
        <f t="shared" si="0"/>
        <v>23.148000000000007</v>
      </c>
      <c r="E38" s="47">
        <v>10.047999999999998</v>
      </c>
      <c r="F38" s="47">
        <v>0.3</v>
      </c>
      <c r="G38" s="47">
        <f t="shared" si="1"/>
        <v>10.347999999999999</v>
      </c>
      <c r="H38" s="4"/>
      <c r="I38" s="4"/>
      <c r="J38" s="5"/>
    </row>
    <row r="39" spans="1:10" x14ac:dyDescent="0.3">
      <c r="A39" s="6" t="s">
        <v>31</v>
      </c>
      <c r="B39" s="48">
        <v>5.6749999999999998</v>
      </c>
      <c r="C39" s="48">
        <v>0</v>
      </c>
      <c r="D39" s="7">
        <f t="shared" si="0"/>
        <v>5.6749999999999998</v>
      </c>
      <c r="E39" s="48">
        <v>29.293000000000003</v>
      </c>
      <c r="F39" s="48">
        <v>0</v>
      </c>
      <c r="G39" s="48">
        <f t="shared" si="1"/>
        <v>29.293000000000003</v>
      </c>
      <c r="H39" s="8"/>
      <c r="I39" s="8"/>
      <c r="J39" s="9"/>
    </row>
    <row r="40" spans="1:10" x14ac:dyDescent="0.3">
      <c r="A40" s="10" t="s">
        <v>32</v>
      </c>
      <c r="B40" s="47">
        <v>5.899</v>
      </c>
      <c r="C40" s="47">
        <v>0</v>
      </c>
      <c r="D40" s="49">
        <f t="shared" si="0"/>
        <v>5.899</v>
      </c>
      <c r="E40" s="47">
        <v>2.4759999999999995</v>
      </c>
      <c r="F40" s="47">
        <v>0</v>
      </c>
      <c r="G40" s="47">
        <f t="shared" si="1"/>
        <v>2.4759999999999995</v>
      </c>
      <c r="H40" s="4"/>
      <c r="I40" s="4"/>
      <c r="J40" s="5"/>
    </row>
    <row r="41" spans="1:10" x14ac:dyDescent="0.3">
      <c r="A41" s="6" t="s">
        <v>33</v>
      </c>
      <c r="B41" s="48">
        <v>844.30500000000018</v>
      </c>
      <c r="C41" s="48">
        <v>33.432000000000002</v>
      </c>
      <c r="D41" s="50">
        <f t="shared" si="0"/>
        <v>877.73700000000019</v>
      </c>
      <c r="E41" s="48">
        <v>799.86900000000003</v>
      </c>
      <c r="F41" s="48">
        <v>23.922000000000004</v>
      </c>
      <c r="G41" s="48">
        <f t="shared" si="1"/>
        <v>823.79100000000005</v>
      </c>
      <c r="H41" s="8"/>
      <c r="I41" s="8"/>
      <c r="J41" s="9"/>
    </row>
    <row r="42" spans="1:10" x14ac:dyDescent="0.3">
      <c r="A42" s="10" t="s">
        <v>34</v>
      </c>
      <c r="B42" s="47">
        <v>0</v>
      </c>
      <c r="C42" s="47">
        <v>0</v>
      </c>
      <c r="D42" s="47">
        <f t="shared" si="0"/>
        <v>0</v>
      </c>
      <c r="E42" s="47">
        <v>0</v>
      </c>
      <c r="F42" s="47">
        <v>0.105</v>
      </c>
      <c r="G42" s="47">
        <f t="shared" si="1"/>
        <v>0.105</v>
      </c>
      <c r="H42" s="4"/>
      <c r="I42" s="4"/>
      <c r="J42" s="5"/>
    </row>
    <row r="43" spans="1:10" x14ac:dyDescent="0.3">
      <c r="A43" s="6" t="s">
        <v>35</v>
      </c>
      <c r="B43" s="48">
        <v>358.93399999999997</v>
      </c>
      <c r="C43" s="48">
        <v>0</v>
      </c>
      <c r="D43" s="7">
        <f t="shared" si="0"/>
        <v>358.93399999999997</v>
      </c>
      <c r="E43" s="48">
        <v>322.09699999999998</v>
      </c>
      <c r="F43" s="48">
        <v>0</v>
      </c>
      <c r="G43" s="48">
        <f t="shared" si="1"/>
        <v>322.09699999999998</v>
      </c>
      <c r="H43" s="8"/>
      <c r="I43" s="8"/>
      <c r="J43" s="9"/>
    </row>
    <row r="44" spans="1:10" x14ac:dyDescent="0.3">
      <c r="A44" s="10" t="s">
        <v>36</v>
      </c>
      <c r="B44" s="47">
        <v>186.49</v>
      </c>
      <c r="C44" s="47">
        <v>0</v>
      </c>
      <c r="D44" s="52">
        <f t="shared" si="0"/>
        <v>186.49</v>
      </c>
      <c r="E44" s="47">
        <v>267.11599999999999</v>
      </c>
      <c r="F44" s="47">
        <v>36.228000000000002</v>
      </c>
      <c r="G44" s="47">
        <f t="shared" si="1"/>
        <v>303.34399999999999</v>
      </c>
      <c r="H44" s="4"/>
      <c r="I44" s="4"/>
      <c r="J44" s="5"/>
    </row>
    <row r="45" spans="1:10" x14ac:dyDescent="0.3">
      <c r="A45" s="6" t="s">
        <v>54</v>
      </c>
      <c r="B45" s="48">
        <v>138.58999999999997</v>
      </c>
      <c r="C45" s="48">
        <v>0</v>
      </c>
      <c r="D45" s="7">
        <f t="shared" si="0"/>
        <v>138.58999999999997</v>
      </c>
      <c r="E45" s="48">
        <v>332.19800000000004</v>
      </c>
      <c r="F45" s="48">
        <v>0</v>
      </c>
      <c r="G45" s="48">
        <f t="shared" si="1"/>
        <v>332.19800000000004</v>
      </c>
      <c r="H45" s="8"/>
      <c r="I45" s="8"/>
      <c r="J45" s="9"/>
    </row>
    <row r="46" spans="1:10" x14ac:dyDescent="0.3">
      <c r="A46" s="10" t="s">
        <v>55</v>
      </c>
      <c r="B46" s="47">
        <v>33.61</v>
      </c>
      <c r="C46" s="47">
        <v>0</v>
      </c>
      <c r="D46" s="49">
        <f t="shared" si="0"/>
        <v>33.61</v>
      </c>
      <c r="E46" s="47">
        <v>72.443999999999988</v>
      </c>
      <c r="F46" s="47">
        <v>0</v>
      </c>
      <c r="G46" s="47">
        <f t="shared" si="1"/>
        <v>72.443999999999988</v>
      </c>
      <c r="H46" s="4"/>
      <c r="I46" s="4"/>
      <c r="J46" s="5"/>
    </row>
    <row r="47" spans="1:10" x14ac:dyDescent="0.3">
      <c r="A47" s="6" t="s">
        <v>38</v>
      </c>
      <c r="B47" s="48">
        <v>192.31700000000001</v>
      </c>
      <c r="C47" s="48">
        <v>0</v>
      </c>
      <c r="D47" s="7">
        <f t="shared" si="0"/>
        <v>192.31700000000001</v>
      </c>
      <c r="E47" s="48">
        <v>510.63</v>
      </c>
      <c r="F47" s="48">
        <v>0</v>
      </c>
      <c r="G47" s="48">
        <f t="shared" si="1"/>
        <v>510.63</v>
      </c>
      <c r="H47" s="8"/>
      <c r="I47" s="8"/>
      <c r="J47" s="9"/>
    </row>
    <row r="48" spans="1:10" x14ac:dyDescent="0.3">
      <c r="A48" s="10" t="s">
        <v>56</v>
      </c>
      <c r="B48" s="47">
        <v>0.54200000000000004</v>
      </c>
      <c r="C48" s="47">
        <v>0</v>
      </c>
      <c r="D48" s="49">
        <f t="shared" si="0"/>
        <v>0.54200000000000004</v>
      </c>
      <c r="E48" s="47">
        <v>35.732999999999997</v>
      </c>
      <c r="F48" s="47">
        <v>0</v>
      </c>
      <c r="G48" s="47">
        <f t="shared" si="1"/>
        <v>35.732999999999997</v>
      </c>
      <c r="H48" s="4"/>
      <c r="I48" s="4"/>
      <c r="J48" s="5"/>
    </row>
    <row r="49" spans="1:10" x14ac:dyDescent="0.3">
      <c r="A49" s="6" t="s">
        <v>39</v>
      </c>
      <c r="B49" s="48">
        <v>204.93300000000002</v>
      </c>
      <c r="C49" s="48">
        <v>11.824000000000002</v>
      </c>
      <c r="D49" s="7">
        <f t="shared" si="0"/>
        <v>216.75700000000003</v>
      </c>
      <c r="E49" s="48">
        <v>284.09500000000008</v>
      </c>
      <c r="F49" s="48">
        <v>10.655000000000001</v>
      </c>
      <c r="G49" s="48">
        <f t="shared" si="1"/>
        <v>294.75000000000011</v>
      </c>
      <c r="H49" s="8"/>
      <c r="I49" s="8"/>
      <c r="J49" s="9"/>
    </row>
    <row r="50" spans="1:10" x14ac:dyDescent="0.3">
      <c r="A50" s="10" t="s">
        <v>40</v>
      </c>
      <c r="B50" s="47">
        <v>3.3370000000000002</v>
      </c>
      <c r="C50" s="47">
        <v>0</v>
      </c>
      <c r="D50" s="49">
        <f t="shared" si="0"/>
        <v>3.3370000000000002</v>
      </c>
      <c r="E50" s="47">
        <v>5.0189999999999992</v>
      </c>
      <c r="F50" s="47">
        <v>0</v>
      </c>
      <c r="G50" s="47">
        <f t="shared" si="1"/>
        <v>5.0189999999999992</v>
      </c>
      <c r="H50" s="4"/>
      <c r="I50" s="4"/>
      <c r="J50" s="5"/>
    </row>
    <row r="51" spans="1:10" x14ac:dyDescent="0.3">
      <c r="A51" s="6" t="s">
        <v>41</v>
      </c>
      <c r="B51" s="48">
        <v>12.391999999999998</v>
      </c>
      <c r="C51" s="48">
        <v>0</v>
      </c>
      <c r="D51" s="7">
        <f t="shared" si="0"/>
        <v>12.391999999999998</v>
      </c>
      <c r="E51" s="48">
        <v>5.8969999999999985</v>
      </c>
      <c r="F51" s="48">
        <v>0</v>
      </c>
      <c r="G51" s="48">
        <f t="shared" si="1"/>
        <v>5.8969999999999985</v>
      </c>
      <c r="H51" s="8"/>
      <c r="I51" s="8"/>
      <c r="J51" s="9"/>
    </row>
    <row r="52" spans="1:10" x14ac:dyDescent="0.3">
      <c r="A52" s="10" t="s">
        <v>42</v>
      </c>
      <c r="B52" s="47">
        <v>56.771000000000001</v>
      </c>
      <c r="C52" s="47">
        <v>0</v>
      </c>
      <c r="D52" s="49">
        <f t="shared" si="0"/>
        <v>56.771000000000001</v>
      </c>
      <c r="E52" s="47">
        <v>52.152999999999999</v>
      </c>
      <c r="F52" s="47">
        <v>0</v>
      </c>
      <c r="G52" s="47">
        <f t="shared" si="1"/>
        <v>52.152999999999999</v>
      </c>
      <c r="H52" s="4"/>
      <c r="I52" s="4"/>
      <c r="J52" s="5"/>
    </row>
    <row r="53" spans="1:10" x14ac:dyDescent="0.3">
      <c r="A53" s="6" t="s">
        <v>57</v>
      </c>
      <c r="B53" s="48">
        <v>103.83500000000001</v>
      </c>
      <c r="C53" s="48">
        <v>0</v>
      </c>
      <c r="D53" s="7">
        <f t="shared" si="0"/>
        <v>103.83500000000001</v>
      </c>
      <c r="E53" s="48">
        <v>168.49500000000003</v>
      </c>
      <c r="F53" s="48">
        <v>0</v>
      </c>
      <c r="G53" s="48">
        <f t="shared" si="1"/>
        <v>168.49500000000003</v>
      </c>
      <c r="H53" s="8"/>
      <c r="I53" s="8"/>
      <c r="J53" s="9"/>
    </row>
    <row r="54" spans="1:10" x14ac:dyDescent="0.3">
      <c r="A54" s="10" t="s">
        <v>43</v>
      </c>
      <c r="B54" s="47">
        <v>20.581000000000003</v>
      </c>
      <c r="C54" s="47">
        <v>0</v>
      </c>
      <c r="D54" s="49">
        <f t="shared" si="0"/>
        <v>20.581000000000003</v>
      </c>
      <c r="E54" s="47">
        <v>38.987000000000002</v>
      </c>
      <c r="F54" s="47">
        <v>0</v>
      </c>
      <c r="G54" s="47">
        <f t="shared" si="1"/>
        <v>38.987000000000002</v>
      </c>
      <c r="H54" s="4"/>
      <c r="I54" s="4"/>
      <c r="J54" s="5"/>
    </row>
    <row r="55" spans="1:10" x14ac:dyDescent="0.3">
      <c r="A55" s="6" t="s">
        <v>52</v>
      </c>
      <c r="B55" s="48">
        <v>0</v>
      </c>
      <c r="C55" s="48">
        <v>1692.1069999999995</v>
      </c>
      <c r="D55" s="7">
        <f t="shared" si="0"/>
        <v>1692.1069999999995</v>
      </c>
      <c r="E55" s="48">
        <v>0</v>
      </c>
      <c r="F55" s="48">
        <v>818.245</v>
      </c>
      <c r="G55" s="48">
        <f t="shared" si="1"/>
        <v>818.245</v>
      </c>
      <c r="H55" s="8"/>
      <c r="I55" s="8"/>
      <c r="J55" s="9"/>
    </row>
    <row r="56" spans="1:10" x14ac:dyDescent="0.3">
      <c r="A56" s="10" t="s">
        <v>44</v>
      </c>
      <c r="B56" s="47">
        <v>8.5439999999999987</v>
      </c>
      <c r="C56" s="47">
        <v>0</v>
      </c>
      <c r="D56" s="49">
        <f t="shared" si="0"/>
        <v>8.5439999999999987</v>
      </c>
      <c r="E56" s="47">
        <v>12.555</v>
      </c>
      <c r="F56" s="47">
        <v>0</v>
      </c>
      <c r="G56" s="47">
        <f t="shared" si="1"/>
        <v>12.555</v>
      </c>
      <c r="H56" s="4"/>
      <c r="I56" s="4"/>
      <c r="J56" s="5"/>
    </row>
    <row r="57" spans="1:10" x14ac:dyDescent="0.3">
      <c r="A57" s="6" t="s">
        <v>45</v>
      </c>
      <c r="B57" s="48"/>
      <c r="C57" s="48"/>
      <c r="D57" s="50"/>
      <c r="E57" s="48">
        <v>0</v>
      </c>
      <c r="F57" s="48">
        <v>0</v>
      </c>
      <c r="G57" s="48">
        <f t="shared" si="1"/>
        <v>0</v>
      </c>
      <c r="H57" s="8"/>
      <c r="I57" s="8"/>
      <c r="J57" s="9"/>
    </row>
    <row r="58" spans="1:10" x14ac:dyDescent="0.3">
      <c r="A58" s="10" t="s">
        <v>46</v>
      </c>
      <c r="B58" s="47">
        <v>560.9100000000002</v>
      </c>
      <c r="C58" s="47">
        <v>0</v>
      </c>
      <c r="D58" s="49">
        <f t="shared" si="0"/>
        <v>560.9100000000002</v>
      </c>
      <c r="E58" s="47">
        <v>790.6389999999999</v>
      </c>
      <c r="F58" s="47">
        <v>0</v>
      </c>
      <c r="G58" s="47">
        <f t="shared" si="1"/>
        <v>790.6389999999999</v>
      </c>
      <c r="H58" s="4"/>
      <c r="I58" s="4"/>
      <c r="J58" s="5"/>
    </row>
    <row r="59" spans="1:10" x14ac:dyDescent="0.3">
      <c r="A59" s="6" t="s">
        <v>63</v>
      </c>
      <c r="B59" s="48">
        <v>1.9210000000000003</v>
      </c>
      <c r="C59" s="48">
        <v>0.71599999999999997</v>
      </c>
      <c r="D59" s="7">
        <f t="shared" si="0"/>
        <v>2.6370000000000005</v>
      </c>
      <c r="E59" s="48">
        <v>6.3930000000000007</v>
      </c>
      <c r="F59" s="48">
        <v>0</v>
      </c>
      <c r="G59" s="48">
        <f t="shared" si="1"/>
        <v>6.3930000000000007</v>
      </c>
      <c r="H59" s="8"/>
      <c r="I59" s="8"/>
      <c r="J59" s="9"/>
    </row>
    <row r="60" spans="1:10" x14ac:dyDescent="0.3">
      <c r="A60" s="10" t="s">
        <v>64</v>
      </c>
      <c r="B60" s="47">
        <v>0</v>
      </c>
      <c r="C60" s="47">
        <v>0</v>
      </c>
      <c r="D60" s="49">
        <f t="shared" si="0"/>
        <v>0</v>
      </c>
      <c r="E60" s="47">
        <v>1.7179999999999997</v>
      </c>
      <c r="F60" s="47">
        <v>0</v>
      </c>
      <c r="G60" s="47">
        <f t="shared" si="1"/>
        <v>1.7179999999999997</v>
      </c>
      <c r="H60" s="4"/>
      <c r="I60" s="4"/>
      <c r="J60" s="5"/>
    </row>
    <row r="61" spans="1:10" x14ac:dyDescent="0.3">
      <c r="A61" s="11"/>
      <c r="B61" s="22"/>
      <c r="C61" s="22"/>
      <c r="D61" s="22"/>
      <c r="E61" s="22"/>
      <c r="F61" s="22"/>
      <c r="G61" s="22"/>
      <c r="H61" s="23"/>
      <c r="I61" s="23"/>
      <c r="J61" s="23"/>
    </row>
    <row r="62" spans="1:10" x14ac:dyDescent="0.3">
      <c r="A62" s="14"/>
      <c r="B62" s="24"/>
      <c r="C62" s="24"/>
      <c r="D62" s="24"/>
      <c r="E62" s="24"/>
      <c r="F62" s="24"/>
      <c r="G62" s="24"/>
      <c r="H62" s="25"/>
      <c r="I62" s="25"/>
      <c r="J62" s="25"/>
    </row>
    <row r="63" spans="1:10" x14ac:dyDescent="0.3">
      <c r="A63" s="26"/>
      <c r="B63" s="27"/>
      <c r="C63" s="27"/>
      <c r="D63" s="27"/>
      <c r="E63" s="27"/>
      <c r="F63" s="27"/>
      <c r="G63" s="27"/>
      <c r="H63" s="27"/>
      <c r="I63" s="27"/>
      <c r="J63" s="28"/>
    </row>
    <row r="64" spans="1:10" x14ac:dyDescent="0.3">
      <c r="A64" s="26"/>
      <c r="B64" s="27"/>
      <c r="C64" s="27"/>
      <c r="D64" s="27"/>
      <c r="E64" s="27"/>
      <c r="F64" s="27"/>
      <c r="G64" s="27"/>
      <c r="H64" s="27"/>
      <c r="I64" s="27"/>
      <c r="J64" s="28"/>
    </row>
    <row r="65" spans="1:10" ht="15" thickBot="1" x14ac:dyDescent="0.35">
      <c r="A65" s="29"/>
      <c r="B65" s="30"/>
      <c r="C65" s="30"/>
      <c r="D65" s="30"/>
      <c r="E65" s="30"/>
      <c r="F65" s="30"/>
      <c r="G65" s="30"/>
      <c r="H65" s="30"/>
      <c r="I65" s="30"/>
      <c r="J65" s="31"/>
    </row>
    <row r="66" spans="1:10" ht="45.75" customHeight="1" x14ac:dyDescent="0.3">
      <c r="A66" s="54"/>
      <c r="B66" s="54"/>
      <c r="C66" s="54"/>
      <c r="D66" s="54"/>
      <c r="E66" s="54"/>
      <c r="F66" s="54"/>
      <c r="G66" s="54"/>
      <c r="H66" s="54"/>
      <c r="I66" s="54"/>
      <c r="J66" s="54"/>
    </row>
    <row r="67" spans="1:10" x14ac:dyDescent="0.3">
      <c r="A67" s="46"/>
    </row>
    <row r="68" spans="1:10" x14ac:dyDescent="0.3">
      <c r="A68" s="53"/>
      <c r="B68" s="45"/>
      <c r="C68" s="45"/>
      <c r="D68" s="45"/>
      <c r="E68" s="45"/>
      <c r="F68" s="45"/>
      <c r="G68" s="45"/>
    </row>
    <row r="69" spans="1:10" x14ac:dyDescent="0.3">
      <c r="B69" s="45"/>
      <c r="C69" s="45"/>
      <c r="D69" s="45"/>
      <c r="E69" s="45"/>
      <c r="F69" s="45"/>
      <c r="G69" s="45"/>
    </row>
    <row r="70" spans="1:10" x14ac:dyDescent="0.3">
      <c r="B70" s="45"/>
      <c r="C70" s="45"/>
      <c r="D70" s="45"/>
      <c r="E70" s="45"/>
      <c r="F70" s="45"/>
      <c r="G70" s="45"/>
    </row>
    <row r="71" spans="1:10" x14ac:dyDescent="0.3">
      <c r="B71" s="45"/>
      <c r="C71" s="45"/>
      <c r="D71" s="45"/>
      <c r="E71" s="45"/>
      <c r="F71" s="45"/>
      <c r="G71" s="45"/>
      <c r="H71" s="45"/>
    </row>
  </sheetData>
  <mergeCells count="5">
    <mergeCell ref="A1:J1"/>
    <mergeCell ref="A2:A3"/>
    <mergeCell ref="B2:D2"/>
    <mergeCell ref="E2:G2"/>
    <mergeCell ref="H2:J2"/>
  </mergeCells>
  <conditionalFormatting sqref="B4:J60">
    <cfRule type="cellIs" dxfId="0" priority="4" operator="equal">
      <formula>0</formula>
    </cfRule>
  </conditionalFormatting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DOCUMENTGUID%">{00000000-0000-0000-0000-000000000000}</XMLData>
</file>

<file path=customXml/item2.xml><?xml version="1.0" encoding="utf-8"?>
<XMLData TextToDisplay="%CLASSIFICATIONDATETIME%">06:15 07/12/2023</XMLData>
</file>

<file path=customXml/item3.xml><?xml version="1.0" encoding="utf-8"?>
<XMLData TextToDisplay="RightsWATCHMark">3|DHMI-DHMI-TASNIF DISI|{00000000-0000-0000-0000-000000000000}</XMLDat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F93E5A-16DE-4E41-A234-DC1FB7D6017D}">
  <ds:schemaRefs/>
</ds:datastoreItem>
</file>

<file path=customXml/itemProps2.xml><?xml version="1.0" encoding="utf-8"?>
<ds:datastoreItem xmlns:ds="http://schemas.openxmlformats.org/officeDocument/2006/customXml" ds:itemID="{F424A94B-F633-46CD-9B1E-90BF021A7861}">
  <ds:schemaRefs/>
</ds:datastoreItem>
</file>

<file path=customXml/itemProps3.xml><?xml version="1.0" encoding="utf-8"?>
<ds:datastoreItem xmlns:ds="http://schemas.openxmlformats.org/officeDocument/2006/customXml" ds:itemID="{FC604E11-52A4-40D8-9CC5-91BEE9DB5C6E}">
  <ds:schemaRefs/>
</ds:datastoreItem>
</file>

<file path=customXml/itemProps4.xml><?xml version="1.0" encoding="utf-8"?>
<ds:datastoreItem xmlns:ds="http://schemas.openxmlformats.org/officeDocument/2006/customXml" ds:itemID="{DF2A867C-9C48-4E56-83DC-07B829811720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89F2FF3-B731-4CEA-8EFE-C7EE9F11D69F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6.xml><?xml version="1.0" encoding="utf-8"?>
<ds:datastoreItem xmlns:ds="http://schemas.openxmlformats.org/officeDocument/2006/customXml" ds:itemID="{8AA5EE19-109A-46CE-9B4B-A1DC23CD4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TÜM UÇAK</vt:lpstr>
      <vt:lpstr>YOLCU</vt:lpstr>
      <vt:lpstr>TİCARİ UÇAK</vt:lpstr>
      <vt:lpstr>YÜK</vt:lpstr>
      <vt:lpstr>KARGO</vt:lpstr>
      <vt:lpstr>KARGO!Print_Area</vt:lpstr>
      <vt:lpstr>'TİCARİ UÇAK'!Print_Area</vt:lpstr>
      <vt:lpstr>'TÜM UÇAK'!Print_Area</vt:lpstr>
      <vt:lpstr>YOLCU!Print_Area</vt:lpstr>
      <vt:lpstr>YÜK!Print_Area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Sevil KAPLAN</dc:creator>
  <cp:lastModifiedBy>AKIF BORA EREN</cp:lastModifiedBy>
  <cp:lastPrinted>2024-04-04T08:17:05Z</cp:lastPrinted>
  <dcterms:created xsi:type="dcterms:W3CDTF">2017-03-06T11:35:15Z</dcterms:created>
  <dcterms:modified xsi:type="dcterms:W3CDTF">2026-05-20T02:20:40Z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3|DHMI-DHMI-TASNIF DISI|{00000000-0000-0000-0000-000000000000}</vt:lpwstr>
  </property>
</Properties>
</file>