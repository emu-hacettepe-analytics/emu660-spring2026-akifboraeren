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D:\Programming\R Projects\emu660-spring2026-emu660-spring2026-emu660-quarto-template\project\data\"/>
    </mc:Choice>
  </mc:AlternateContent>
  <xr:revisionPtr revIDLastSave="0" documentId="13_ncr:1_{3F7B5382-4547-46DF-8C04-FA878F31142F}" xr6:coauthVersionLast="47" xr6:coauthVersionMax="47" xr10:uidLastSave="{00000000-0000-0000-0000-000000000000}"/>
  <bookViews>
    <workbookView xWindow="-96" yWindow="0" windowWidth="11712" windowHeight="12336" firstSheet="2" activeTab="4" xr2:uid="{00000000-000D-0000-FFFF-FFFF00000000}"/>
  </bookViews>
  <sheets>
    <sheet name="TÜM UÇAK" sheetId="1" r:id="rId1"/>
    <sheet name="YOLCU" sheetId="2" r:id="rId2"/>
    <sheet name="TİCARİ UÇAK" sheetId="3" r:id="rId3"/>
    <sheet name="YÜK " sheetId="4" r:id="rId4"/>
    <sheet name="KARGO" sheetId="5" r:id="rId5"/>
  </sheets>
  <definedNames>
    <definedName name="_xlnm.Print_Area" localSheetId="4">KARGO!$A$1:$J$67</definedName>
    <definedName name="_xlnm.Print_Area" localSheetId="0">'TÜM UÇAK'!$A$1:$J$66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" i="5" l="1"/>
  <c r="G59" i="5"/>
  <c r="G4" i="5"/>
  <c r="D58" i="5"/>
  <c r="G57" i="5"/>
  <c r="D57" i="5"/>
  <c r="D56" i="5"/>
  <c r="D55" i="5"/>
  <c r="G54" i="5"/>
  <c r="D54" i="5"/>
  <c r="G53" i="5"/>
  <c r="D53" i="5"/>
  <c r="D52" i="5"/>
  <c r="G51" i="5"/>
  <c r="D51" i="5"/>
  <c r="G50" i="5"/>
  <c r="D50" i="5"/>
  <c r="G49" i="5"/>
  <c r="D48" i="5"/>
  <c r="G47" i="5"/>
  <c r="D47" i="5"/>
  <c r="G46" i="5"/>
  <c r="D46" i="5"/>
  <c r="G45" i="5"/>
  <c r="D45" i="5"/>
  <c r="D44" i="5"/>
  <c r="G43" i="5"/>
  <c r="D43" i="5"/>
  <c r="G42" i="5"/>
  <c r="D42" i="5"/>
  <c r="G41" i="5"/>
  <c r="D40" i="5"/>
  <c r="G39" i="5"/>
  <c r="D39" i="5"/>
  <c r="G38" i="5"/>
  <c r="D38" i="5"/>
  <c r="G37" i="5"/>
  <c r="D37" i="5"/>
  <c r="D36" i="5"/>
  <c r="G35" i="5"/>
  <c r="D35" i="5"/>
  <c r="G34" i="5"/>
  <c r="D34" i="5"/>
  <c r="D33" i="5"/>
  <c r="D32" i="5"/>
  <c r="G31" i="5"/>
  <c r="D31" i="5"/>
  <c r="G30" i="5"/>
  <c r="D30" i="5"/>
  <c r="G29" i="5"/>
  <c r="D29" i="5"/>
  <c r="D28" i="5"/>
  <c r="G26" i="5"/>
  <c r="D26" i="5"/>
  <c r="G25" i="5"/>
  <c r="D25" i="5"/>
  <c r="D24" i="5"/>
  <c r="G23" i="5"/>
  <c r="D23" i="5"/>
  <c r="G21" i="5"/>
  <c r="D21" i="5"/>
  <c r="G19" i="5"/>
  <c r="D19" i="5"/>
  <c r="G18" i="5"/>
  <c r="D18" i="5"/>
  <c r="G17" i="5"/>
  <c r="D17" i="5"/>
  <c r="D16" i="5"/>
  <c r="G15" i="5"/>
  <c r="D15" i="5"/>
  <c r="G14" i="5"/>
  <c r="D14" i="5"/>
  <c r="G13" i="5"/>
  <c r="D13" i="5"/>
  <c r="D12" i="5"/>
  <c r="G11" i="5"/>
  <c r="D11" i="5"/>
  <c r="G10" i="5"/>
  <c r="D10" i="5"/>
  <c r="G9" i="5"/>
  <c r="D9" i="5"/>
  <c r="D8" i="5"/>
  <c r="G7" i="5"/>
  <c r="D7" i="5"/>
  <c r="G6" i="5"/>
  <c r="D6" i="5"/>
  <c r="D4" i="5"/>
  <c r="G52" i="5" l="1"/>
  <c r="G58" i="5"/>
  <c r="G56" i="5"/>
  <c r="G44" i="5"/>
  <c r="G24" i="5"/>
  <c r="G48" i="5"/>
  <c r="G16" i="5"/>
  <c r="G36" i="5"/>
  <c r="G40" i="5"/>
  <c r="G8" i="5"/>
  <c r="G12" i="5"/>
  <c r="G28" i="5"/>
  <c r="G32" i="5"/>
  <c r="D5" i="1" l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4" i="1"/>
  <c r="G4" i="1" l="1"/>
  <c r="G5" i="4" l="1"/>
  <c r="D5" i="4"/>
  <c r="G5" i="3"/>
  <c r="D5" i="3"/>
  <c r="G5" i="2"/>
  <c r="D5" i="2"/>
  <c r="G5" i="1"/>
  <c r="G56" i="4" l="1"/>
  <c r="G56" i="3" l="1"/>
  <c r="G56" i="2"/>
  <c r="D21" i="4" l="1"/>
  <c r="D23" i="4"/>
  <c r="D24" i="4"/>
  <c r="D25" i="4"/>
  <c r="D26" i="4"/>
  <c r="D28" i="4"/>
  <c r="D29" i="4"/>
  <c r="D30" i="4"/>
  <c r="D31" i="4"/>
  <c r="D32" i="4"/>
  <c r="D33" i="4"/>
  <c r="G21" i="3"/>
  <c r="G21" i="2"/>
  <c r="D28" i="2"/>
  <c r="D29" i="2"/>
  <c r="D30" i="2"/>
  <c r="D31" i="2"/>
  <c r="D32" i="2"/>
  <c r="D33" i="2"/>
  <c r="D21" i="2"/>
  <c r="G40" i="1"/>
  <c r="G38" i="1"/>
  <c r="G36" i="1"/>
  <c r="G32" i="1"/>
  <c r="G30" i="1"/>
  <c r="G28" i="1"/>
  <c r="G24" i="1"/>
  <c r="G22" i="1"/>
  <c r="G20" i="1"/>
  <c r="G16" i="1"/>
  <c r="G14" i="1"/>
  <c r="G12" i="1"/>
  <c r="G8" i="1"/>
  <c r="G6" i="1"/>
  <c r="G7" i="1"/>
  <c r="G9" i="1"/>
  <c r="G10" i="1"/>
  <c r="G11" i="1"/>
  <c r="G13" i="1"/>
  <c r="G15" i="1"/>
  <c r="G17" i="1"/>
  <c r="G18" i="1"/>
  <c r="G19" i="1"/>
  <c r="G21" i="1"/>
  <c r="G23" i="1"/>
  <c r="G25" i="1"/>
  <c r="G26" i="1"/>
  <c r="G27" i="1"/>
  <c r="G29" i="1"/>
  <c r="G31" i="1"/>
  <c r="G33" i="1"/>
  <c r="G34" i="1"/>
  <c r="G35" i="1"/>
  <c r="G37" i="1"/>
  <c r="G39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D33" i="3" l="1"/>
  <c r="G21" i="4" l="1"/>
  <c r="G23" i="4"/>
  <c r="G24" i="4"/>
  <c r="G25" i="4"/>
  <c r="G26" i="4"/>
  <c r="G27" i="4"/>
  <c r="G28" i="4"/>
  <c r="G29" i="4"/>
  <c r="G30" i="4"/>
  <c r="G31" i="4"/>
  <c r="G32" i="4"/>
  <c r="G33" i="4"/>
  <c r="G34" i="4"/>
  <c r="G35" i="4"/>
  <c r="G36" i="4"/>
  <c r="G37" i="4"/>
  <c r="G38" i="4"/>
  <c r="G39" i="4"/>
  <c r="G40" i="4"/>
  <c r="G41" i="4"/>
  <c r="G42" i="4"/>
  <c r="G43" i="4"/>
  <c r="G44" i="4"/>
  <c r="G45" i="4"/>
  <c r="G46" i="4"/>
  <c r="G47" i="4"/>
  <c r="G48" i="4"/>
  <c r="G49" i="4"/>
  <c r="G50" i="4"/>
  <c r="G51" i="4"/>
  <c r="G52" i="4"/>
  <c r="G53" i="4"/>
  <c r="G54" i="4"/>
  <c r="G55" i="4"/>
  <c r="D19" i="4"/>
  <c r="D34" i="4"/>
  <c r="D35" i="4"/>
  <c r="D36" i="4"/>
  <c r="D37" i="4"/>
  <c r="D38" i="4"/>
  <c r="D39" i="4"/>
  <c r="D40" i="4"/>
  <c r="D41" i="4"/>
  <c r="D42" i="4"/>
  <c r="D43" i="4"/>
  <c r="D44" i="4"/>
  <c r="D45" i="4"/>
  <c r="D46" i="4"/>
  <c r="D47" i="4"/>
  <c r="D48" i="4"/>
  <c r="D49" i="4"/>
  <c r="D50" i="4"/>
  <c r="D51" i="4"/>
  <c r="D52" i="4"/>
  <c r="D53" i="4"/>
  <c r="D54" i="4"/>
  <c r="D55" i="4"/>
  <c r="D56" i="4"/>
  <c r="D57" i="4"/>
  <c r="D58" i="4"/>
  <c r="D59" i="4"/>
  <c r="G6" i="4" l="1"/>
  <c r="G7" i="4"/>
  <c r="G8" i="4"/>
  <c r="G9" i="4"/>
  <c r="G10" i="4"/>
  <c r="G11" i="4"/>
  <c r="G12" i="4"/>
  <c r="G13" i="4"/>
  <c r="G14" i="4"/>
  <c r="G15" i="4"/>
  <c r="G16" i="4"/>
  <c r="G17" i="4"/>
  <c r="G18" i="4"/>
  <c r="G19" i="4"/>
  <c r="G57" i="4"/>
  <c r="G58" i="4"/>
  <c r="G59" i="4"/>
  <c r="G4" i="4"/>
  <c r="D6" i="4"/>
  <c r="D7" i="4"/>
  <c r="D8" i="4"/>
  <c r="D9" i="4"/>
  <c r="D10" i="4"/>
  <c r="D11" i="4"/>
  <c r="D12" i="4"/>
  <c r="D13" i="4"/>
  <c r="D14" i="4"/>
  <c r="D15" i="4"/>
  <c r="D16" i="4"/>
  <c r="D17" i="4"/>
  <c r="D18" i="4"/>
  <c r="D4" i="4"/>
  <c r="G59" i="3"/>
  <c r="G58" i="3"/>
  <c r="G57" i="3"/>
  <c r="G55" i="3"/>
  <c r="G54" i="3"/>
  <c r="G53" i="3"/>
  <c r="G52" i="3"/>
  <c r="G51" i="3"/>
  <c r="G50" i="3"/>
  <c r="G49" i="3"/>
  <c r="G48" i="3"/>
  <c r="G47" i="3"/>
  <c r="G46" i="3"/>
  <c r="G45" i="3"/>
  <c r="G44" i="3"/>
  <c r="G43" i="3"/>
  <c r="G42" i="3"/>
  <c r="G41" i="3"/>
  <c r="G40" i="3"/>
  <c r="G39" i="3"/>
  <c r="G38" i="3"/>
  <c r="G37" i="3"/>
  <c r="G36" i="3"/>
  <c r="G35" i="3"/>
  <c r="G34" i="3"/>
  <c r="G33" i="3"/>
  <c r="G32" i="3"/>
  <c r="G31" i="3"/>
  <c r="G30" i="3"/>
  <c r="G29" i="3"/>
  <c r="G28" i="3"/>
  <c r="G27" i="3"/>
  <c r="G26" i="3"/>
  <c r="G25" i="3"/>
  <c r="G24" i="3"/>
  <c r="G23" i="3"/>
  <c r="G19" i="3"/>
  <c r="G18" i="3"/>
  <c r="G17" i="3"/>
  <c r="G16" i="3"/>
  <c r="G15" i="3"/>
  <c r="G14" i="3"/>
  <c r="G13" i="3"/>
  <c r="G12" i="3"/>
  <c r="G11" i="3"/>
  <c r="G10" i="3"/>
  <c r="G9" i="3"/>
  <c r="G8" i="3"/>
  <c r="G7" i="3"/>
  <c r="G6" i="3"/>
  <c r="G4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1" i="3"/>
  <c r="D23" i="3"/>
  <c r="D24" i="3"/>
  <c r="D25" i="3"/>
  <c r="D26" i="3"/>
  <c r="D28" i="3"/>
  <c r="D29" i="3"/>
  <c r="D30" i="3"/>
  <c r="D31" i="3"/>
  <c r="D32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52" i="3"/>
  <c r="D53" i="3"/>
  <c r="D54" i="3"/>
  <c r="D55" i="3"/>
  <c r="D56" i="3"/>
  <c r="D57" i="3"/>
  <c r="D58" i="3"/>
  <c r="D59" i="3"/>
  <c r="D4" i="3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3" i="2"/>
  <c r="G24" i="2"/>
  <c r="G25" i="2"/>
  <c r="G26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7" i="2"/>
  <c r="G58" i="2"/>
  <c r="G59" i="2"/>
  <c r="G4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3" i="2"/>
  <c r="D24" i="2"/>
  <c r="D25" i="2"/>
  <c r="D26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4" i="2"/>
</calcChain>
</file>

<file path=xl/sharedStrings.xml><?xml version="1.0" encoding="utf-8"?>
<sst xmlns="http://schemas.openxmlformats.org/spreadsheetml/2006/main" count="332" uniqueCount="69">
  <si>
    <t xml:space="preserve">   TÜM UÇAK TRAFİĞİ</t>
  </si>
  <si>
    <t xml:space="preserve">Havalimanları </t>
  </si>
  <si>
    <t>İç Hat</t>
  </si>
  <si>
    <t>Dış Hat</t>
  </si>
  <si>
    <t>Toplam</t>
  </si>
  <si>
    <t>İstanbul Atatürk</t>
  </si>
  <si>
    <t>Ankara Esenboğa</t>
  </si>
  <si>
    <t>İzmir Adnan Menderes</t>
  </si>
  <si>
    <t>Antalya</t>
  </si>
  <si>
    <t>Muğla Dalaman</t>
  </si>
  <si>
    <t>Muğla Milas-Bodrum</t>
  </si>
  <si>
    <t>Adana</t>
  </si>
  <si>
    <t>Trabzon</t>
  </si>
  <si>
    <t>Erzurum</t>
  </si>
  <si>
    <t>Gaziantep</t>
  </si>
  <si>
    <t>Adıyaman</t>
  </si>
  <si>
    <t>Ağrı Ahmed-i Hani</t>
  </si>
  <si>
    <t>Amasya Merzifon</t>
  </si>
  <si>
    <t>Balıkesir Koca Seyit</t>
  </si>
  <si>
    <t>Balıkesir Merkez</t>
  </si>
  <si>
    <t>Batman</t>
  </si>
  <si>
    <t>Bingöl</t>
  </si>
  <si>
    <t>Bursa Yenişehir</t>
  </si>
  <si>
    <t>Çanakkale</t>
  </si>
  <si>
    <t>Çanakkale Gökçeada</t>
  </si>
  <si>
    <t>Denizli Çardak</t>
  </si>
  <si>
    <t>Diyarbakır</t>
  </si>
  <si>
    <t>Elazığ</t>
  </si>
  <si>
    <t>Erzincan</t>
  </si>
  <si>
    <t>Hatay</t>
  </si>
  <si>
    <t>Isparta Süleyman Demirel</t>
  </si>
  <si>
    <t>Kahramanmaraş</t>
  </si>
  <si>
    <t>Kars Harakani</t>
  </si>
  <si>
    <t>Kastamonu</t>
  </si>
  <si>
    <t>Kayseri</t>
  </si>
  <si>
    <t>Kocaeli Cengiz Topel</t>
  </si>
  <si>
    <t>Konya</t>
  </si>
  <si>
    <t>Malatya</t>
  </si>
  <si>
    <t>Mardin</t>
  </si>
  <si>
    <t>Kapadokya</t>
  </si>
  <si>
    <t>Ordu-Giresun</t>
  </si>
  <si>
    <t>Samsun Çarşamba</t>
  </si>
  <si>
    <t>Siirt</t>
  </si>
  <si>
    <t>Sinop</t>
  </si>
  <si>
    <t>Sivas Nuri Demirağ</t>
  </si>
  <si>
    <t>Şanlıurfa Gap</t>
  </si>
  <si>
    <t>Şırnak Şerafettin Elçi</t>
  </si>
  <si>
    <t>Tokat</t>
  </si>
  <si>
    <t>Uşak</t>
  </si>
  <si>
    <t>Van Ferit Melen</t>
  </si>
  <si>
    <t>İstanbul Sabiha Gökçen(*)</t>
  </si>
  <si>
    <t>Gazipaşa Alanya(*)</t>
  </si>
  <si>
    <t>Aydın Çıldır(*)</t>
  </si>
  <si>
    <t>Eskişehir Hasan Polatkan(*)</t>
  </si>
  <si>
    <t>Zafer(*)</t>
  </si>
  <si>
    <t>Zonguldak Çaycuma(*)</t>
  </si>
  <si>
    <t>YOLCU TRAFİĞİ (Gelen-Giden)</t>
  </si>
  <si>
    <t xml:space="preserve">   TİCARİ  UÇAK TRAFİĞİ</t>
  </si>
  <si>
    <t>YÜK TRAFİĞİ ( Bagaj+Kargo+Posta) (TON)</t>
  </si>
  <si>
    <t xml:space="preserve"> </t>
  </si>
  <si>
    <t>Iğdır Şehit Bülent Aydın</t>
  </si>
  <si>
    <t>Hakkari Yüksekova Selahaddin Eyyubi</t>
  </si>
  <si>
    <t>İstanbul(*)</t>
  </si>
  <si>
    <t xml:space="preserve">Muş Sultan Alparslan </t>
  </si>
  <si>
    <t>Tekirdağ Çorlu Atatürk</t>
  </si>
  <si>
    <t xml:space="preserve">2018 YIL SONU
</t>
  </si>
  <si>
    <t xml:space="preserve">2019 YIL SONU
</t>
  </si>
  <si>
    <t>KARGO TRAFİĞİ (TON)</t>
  </si>
  <si>
    <t>Muş Sultan Alparslan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</si>
</sst>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-* #,##0.00_-;\-* #,##0.00_-;_-* &quot;-&quot;??_-;_-@_-"/>
    <numFmt numFmtId="164" formatCode="_-* #,##0.00\ _T_L_-;\-* #,##0.00\ _T_L_-;_-* &quot;-&quot;??\ _T_L_-;_-@_-"/>
    <numFmt numFmtId="165" formatCode="_-* #,##0\ _T_L_-;\-* #,##0\ _T_L_-;_-* &quot;-&quot;??\ _T_L_-;_-@_-"/>
    <numFmt numFmtId="166" formatCode="#,##0.0"/>
    <numFmt numFmtId="167" formatCode="#,##0_ ;\-#,##0\ "/>
    <numFmt numFmtId="168" formatCode="0.0"/>
    <numFmt numFmtId="169" formatCode="#,##0.000"/>
    <numFmt numFmtId="170" formatCode="_-* #,##0_-;\-* #,##0_-;_-* &quot;-&quot;??_-;_-@_-"/>
  </numFmts>
  <fonts count="13" x14ac:knownFonts="1">
    <font>
      <sz val="11"/>
      <color theme="1"/>
      <name val="Calibri"/>
      <family val="2"/>
      <charset val="162"/>
      <scheme val="minor"/>
    </font>
    <font>
      <sz val="11"/>
      <color theme="0"/>
      <name val="Calibri"/>
      <family val="2"/>
      <charset val="162"/>
      <scheme val="minor"/>
    </font>
    <font>
      <b/>
      <sz val="11"/>
      <color theme="1"/>
      <name val="Tahoma"/>
      <family val="2"/>
      <charset val="162"/>
    </font>
    <font>
      <b/>
      <sz val="11"/>
      <color indexed="9"/>
      <name val="Tahoma"/>
      <family val="2"/>
      <charset val="162"/>
    </font>
    <font>
      <b/>
      <sz val="10"/>
      <color indexed="9"/>
      <name val="Tahoma"/>
      <family val="2"/>
      <charset val="162"/>
    </font>
    <font>
      <sz val="10"/>
      <name val="Arial Tur"/>
      <charset val="162"/>
    </font>
    <font>
      <b/>
      <sz val="8"/>
      <color indexed="8"/>
      <name val="Tahoma"/>
      <family val="2"/>
      <charset val="162"/>
    </font>
    <font>
      <b/>
      <sz val="9.5"/>
      <color indexed="8"/>
      <name val="Tahoma"/>
      <family val="2"/>
      <charset val="162"/>
    </font>
    <font>
      <b/>
      <sz val="9.5"/>
      <color indexed="10"/>
      <name val="Tahoma"/>
      <family val="2"/>
      <charset val="162"/>
    </font>
    <font>
      <b/>
      <sz val="10"/>
      <color theme="0"/>
      <name val="Tahoma"/>
      <family val="2"/>
      <charset val="162"/>
    </font>
    <font>
      <b/>
      <sz val="9.5"/>
      <color indexed="9"/>
      <name val="Tahoma"/>
      <family val="2"/>
      <charset val="162"/>
    </font>
    <font>
      <b/>
      <sz val="9.5"/>
      <color theme="0"/>
      <name val="Tahoma"/>
      <family val="2"/>
      <charset val="162"/>
    </font>
    <font>
      <sz val="11"/>
      <color theme="1"/>
      <name val="Calibri"/>
      <family val="2"/>
      <charset val="16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theme="7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indexed="31"/>
      </patternFill>
    </fill>
    <fill>
      <patternFill patternType="solid">
        <fgColor theme="6" tint="-0.499984740745262"/>
        <bgColor indexed="31"/>
      </patternFill>
    </fill>
    <fill>
      <patternFill patternType="solid">
        <fgColor theme="6" tint="-0.499984740745262"/>
        <bgColor indexed="64"/>
      </patternFill>
    </fill>
    <fill>
      <patternFill patternType="solid">
        <fgColor rgb="FFC00000"/>
        <bgColor indexed="9"/>
      </patternFill>
    </fill>
    <fill>
      <patternFill patternType="solid">
        <fgColor theme="3" tint="-0.499984740745262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7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164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43" fontId="12" fillId="0" borderId="0" applyFont="0" applyFill="0" applyBorder="0" applyAlignment="0" applyProtection="0"/>
  </cellStyleXfs>
  <cellXfs count="75">
    <xf numFmtId="0" fontId="0" fillId="0" borderId="0" xfId="0"/>
    <xf numFmtId="2" fontId="4" fillId="5" borderId="7" xfId="1" applyNumberFormat="1" applyFont="1" applyFill="1" applyBorder="1" applyAlignment="1">
      <alignment horizontal="right" vertical="center"/>
    </xf>
    <xf numFmtId="2" fontId="4" fillId="5" borderId="8" xfId="1" applyNumberFormat="1" applyFont="1" applyFill="1" applyBorder="1" applyAlignment="1">
      <alignment horizontal="right" vertical="center"/>
    </xf>
    <xf numFmtId="3" fontId="7" fillId="6" borderId="0" xfId="3" applyNumberFormat="1" applyFont="1" applyFill="1" applyBorder="1" applyAlignment="1">
      <alignment horizontal="right" vertical="center"/>
    </xf>
    <xf numFmtId="3" fontId="8" fillId="6" borderId="0" xfId="3" applyNumberFormat="1" applyFont="1" applyFill="1" applyBorder="1" applyAlignment="1">
      <alignment horizontal="right" vertical="center"/>
    </xf>
    <xf numFmtId="3" fontId="8" fillId="6" borderId="5" xfId="3" applyNumberFormat="1" applyFont="1" applyFill="1" applyBorder="1" applyAlignment="1">
      <alignment horizontal="right" vertical="center"/>
    </xf>
    <xf numFmtId="165" fontId="6" fillId="4" borderId="4" xfId="3" applyNumberFormat="1" applyFont="1" applyFill="1" applyBorder="1" applyAlignment="1">
      <alignment horizontal="left"/>
    </xf>
    <xf numFmtId="3" fontId="7" fillId="4" borderId="0" xfId="3" applyNumberFormat="1" applyFont="1" applyFill="1" applyBorder="1" applyAlignment="1">
      <alignment horizontal="right" vertical="center"/>
    </xf>
    <xf numFmtId="3" fontId="8" fillId="4" borderId="0" xfId="3" applyNumberFormat="1" applyFont="1" applyFill="1" applyBorder="1" applyAlignment="1">
      <alignment horizontal="right" vertical="center"/>
    </xf>
    <xf numFmtId="3" fontId="8" fillId="4" borderId="5" xfId="3" applyNumberFormat="1" applyFont="1" applyFill="1" applyBorder="1" applyAlignment="1">
      <alignment horizontal="right" vertical="center"/>
    </xf>
    <xf numFmtId="165" fontId="6" fillId="7" borderId="4" xfId="3" applyNumberFormat="1" applyFont="1" applyFill="1" applyBorder="1" applyAlignment="1">
      <alignment horizontal="left"/>
    </xf>
    <xf numFmtId="0" fontId="9" fillId="8" borderId="4" xfId="3" applyNumberFormat="1" applyFont="1" applyFill="1" applyBorder="1" applyAlignment="1">
      <alignment horizontal="left" vertical="center"/>
    </xf>
    <xf numFmtId="3" fontId="10" fillId="9" borderId="0" xfId="3" applyNumberFormat="1" applyFont="1" applyFill="1" applyBorder="1" applyAlignment="1">
      <alignment horizontal="right" vertical="center"/>
    </xf>
    <xf numFmtId="166" fontId="10" fillId="9" borderId="0" xfId="4" applyNumberFormat="1" applyFont="1" applyFill="1" applyBorder="1" applyAlignment="1">
      <alignment horizontal="right" vertical="center"/>
    </xf>
    <xf numFmtId="0" fontId="4" fillId="10" borderId="4" xfId="3" applyNumberFormat="1" applyFont="1" applyFill="1" applyBorder="1" applyAlignment="1">
      <alignment horizontal="left" vertical="center"/>
    </xf>
    <xf numFmtId="3" fontId="10" fillId="5" borderId="0" xfId="3" applyNumberFormat="1" applyFont="1" applyFill="1" applyBorder="1" applyAlignment="1">
      <alignment horizontal="right" vertical="center"/>
    </xf>
    <xf numFmtId="166" fontId="10" fillId="5" borderId="0" xfId="4" applyNumberFormat="1" applyFont="1" applyFill="1" applyBorder="1" applyAlignment="1">
      <alignment horizontal="right" vertical="center"/>
    </xf>
    <xf numFmtId="166" fontId="10" fillId="5" borderId="5" xfId="4" applyNumberFormat="1" applyFont="1" applyFill="1" applyBorder="1" applyAlignment="1">
      <alignment horizontal="right" vertical="center"/>
    </xf>
    <xf numFmtId="0" fontId="4" fillId="11" borderId="9" xfId="1" applyNumberFormat="1" applyFont="1" applyFill="1" applyBorder="1" applyAlignment="1">
      <alignment horizontal="left" vertical="center"/>
    </xf>
    <xf numFmtId="167" fontId="10" fillId="11" borderId="0" xfId="2" applyNumberFormat="1" applyFont="1" applyFill="1" applyBorder="1" applyAlignment="1">
      <alignment vertical="center"/>
    </xf>
    <xf numFmtId="0" fontId="4" fillId="10" borderId="9" xfId="5" applyFont="1" applyFill="1" applyBorder="1" applyAlignment="1">
      <alignment horizontal="left" vertical="center"/>
    </xf>
    <xf numFmtId="3" fontId="10" fillId="5" borderId="12" xfId="5" applyNumberFormat="1" applyFont="1" applyFill="1" applyBorder="1"/>
    <xf numFmtId="3" fontId="4" fillId="9" borderId="0" xfId="3" applyNumberFormat="1" applyFont="1" applyFill="1" applyBorder="1" applyAlignment="1">
      <alignment horizontal="right" vertical="center"/>
    </xf>
    <xf numFmtId="166" fontId="4" fillId="9" borderId="0" xfId="4" applyNumberFormat="1" applyFont="1" applyFill="1" applyBorder="1" applyAlignment="1">
      <alignment horizontal="right" vertical="center"/>
    </xf>
    <xf numFmtId="3" fontId="4" fillId="5" borderId="0" xfId="3" applyNumberFormat="1" applyFont="1" applyFill="1" applyBorder="1" applyAlignment="1">
      <alignment horizontal="right" vertical="center"/>
    </xf>
    <xf numFmtId="166" fontId="4" fillId="5" borderId="0" xfId="4" applyNumberFormat="1" applyFont="1" applyFill="1" applyBorder="1" applyAlignment="1">
      <alignment horizontal="right" vertical="center"/>
    </xf>
    <xf numFmtId="165" fontId="10" fillId="4" borderId="4" xfId="2" applyNumberFormat="1" applyFont="1" applyFill="1" applyBorder="1" applyAlignment="1">
      <alignment vertical="center"/>
    </xf>
    <xf numFmtId="165" fontId="10" fillId="4" borderId="0" xfId="2" applyNumberFormat="1" applyFont="1" applyFill="1" applyBorder="1" applyAlignment="1">
      <alignment vertical="center"/>
    </xf>
    <xf numFmtId="165" fontId="10" fillId="4" borderId="5" xfId="2" applyNumberFormat="1" applyFont="1" applyFill="1" applyBorder="1" applyAlignment="1">
      <alignment vertical="center"/>
    </xf>
    <xf numFmtId="165" fontId="10" fillId="4" borderId="9" xfId="2" applyNumberFormat="1" applyFont="1" applyFill="1" applyBorder="1" applyAlignment="1">
      <alignment vertical="center"/>
    </xf>
    <xf numFmtId="165" fontId="10" fillId="4" borderId="10" xfId="2" applyNumberFormat="1" applyFont="1" applyFill="1" applyBorder="1" applyAlignment="1">
      <alignment vertical="center"/>
    </xf>
    <xf numFmtId="165" fontId="10" fillId="4" borderId="11" xfId="2" applyNumberFormat="1" applyFont="1" applyFill="1" applyBorder="1" applyAlignment="1">
      <alignment vertical="center"/>
    </xf>
    <xf numFmtId="3" fontId="11" fillId="9" borderId="0" xfId="3" applyNumberFormat="1" applyFont="1" applyFill="1" applyBorder="1" applyAlignment="1">
      <alignment horizontal="right" vertical="center"/>
    </xf>
    <xf numFmtId="3" fontId="10" fillId="5" borderId="12" xfId="5" applyNumberFormat="1" applyFont="1" applyFill="1" applyBorder="1" applyAlignment="1">
      <alignment horizontal="right"/>
    </xf>
    <xf numFmtId="3" fontId="10" fillId="5" borderId="2" xfId="3" applyNumberFormat="1" applyFont="1" applyFill="1" applyBorder="1" applyAlignment="1">
      <alignment horizontal="right" vertical="center"/>
    </xf>
    <xf numFmtId="166" fontId="10" fillId="9" borderId="5" xfId="4" applyNumberFormat="1" applyFont="1" applyFill="1" applyBorder="1" applyAlignment="1">
      <alignment horizontal="right" vertical="center"/>
    </xf>
    <xf numFmtId="0" fontId="0" fillId="0" borderId="4" xfId="0" applyBorder="1"/>
    <xf numFmtId="1" fontId="0" fillId="0" borderId="0" xfId="0" applyNumberFormat="1"/>
    <xf numFmtId="168" fontId="0" fillId="0" borderId="0" xfId="0" applyNumberFormat="1"/>
    <xf numFmtId="166" fontId="8" fillId="6" borderId="0" xfId="3" applyNumberFormat="1" applyFont="1" applyFill="1" applyBorder="1" applyAlignment="1">
      <alignment horizontal="right" vertical="center"/>
    </xf>
    <xf numFmtId="166" fontId="8" fillId="4" borderId="5" xfId="3" applyNumberFormat="1" applyFont="1" applyFill="1" applyBorder="1" applyAlignment="1">
      <alignment horizontal="right" vertical="center"/>
    </xf>
    <xf numFmtId="166" fontId="8" fillId="6" borderId="5" xfId="3" applyNumberFormat="1" applyFont="1" applyFill="1" applyBorder="1" applyAlignment="1">
      <alignment horizontal="right" vertical="center"/>
    </xf>
    <xf numFmtId="165" fontId="6" fillId="6" borderId="4" xfId="3" applyNumberFormat="1" applyFont="1" applyFill="1" applyBorder="1" applyAlignment="1">
      <alignment horizontal="left"/>
    </xf>
    <xf numFmtId="4" fontId="7" fillId="6" borderId="0" xfId="3" applyNumberFormat="1" applyFont="1" applyFill="1" applyBorder="1" applyAlignment="1">
      <alignment horizontal="right" vertical="center"/>
    </xf>
    <xf numFmtId="166" fontId="7" fillId="6" borderId="0" xfId="3" applyNumberFormat="1" applyFont="1" applyFill="1" applyBorder="1" applyAlignment="1">
      <alignment horizontal="right" vertical="center"/>
    </xf>
    <xf numFmtId="166" fontId="7" fillId="4" borderId="0" xfId="3" applyNumberFormat="1" applyFont="1" applyFill="1" applyBorder="1" applyAlignment="1">
      <alignment horizontal="right" vertical="center"/>
    </xf>
    <xf numFmtId="169" fontId="7" fillId="4" borderId="0" xfId="3" applyNumberFormat="1" applyFont="1" applyFill="1" applyBorder="1" applyAlignment="1">
      <alignment horizontal="right" vertical="center"/>
    </xf>
    <xf numFmtId="169" fontId="7" fillId="6" borderId="0" xfId="3" applyNumberFormat="1" applyFont="1" applyFill="1" applyBorder="1" applyAlignment="1">
      <alignment horizontal="right" vertical="center"/>
    </xf>
    <xf numFmtId="166" fontId="8" fillId="4" borderId="0" xfId="3" applyNumberFormat="1" applyFont="1" applyFill="1" applyBorder="1" applyAlignment="1">
      <alignment horizontal="right" vertical="center"/>
    </xf>
    <xf numFmtId="4" fontId="7" fillId="4" borderId="0" xfId="3" applyNumberFormat="1" applyFont="1" applyFill="1" applyBorder="1" applyAlignment="1">
      <alignment horizontal="right" vertical="center"/>
    </xf>
    <xf numFmtId="170" fontId="0" fillId="0" borderId="0" xfId="6" applyNumberFormat="1" applyFont="1"/>
    <xf numFmtId="0" fontId="0" fillId="0" borderId="2" xfId="0" applyBorder="1" applyAlignment="1">
      <alignment wrapText="1"/>
    </xf>
    <xf numFmtId="0" fontId="0" fillId="0" borderId="2" xfId="0" applyBorder="1" applyAlignment="1">
      <alignment horizontal="center" wrapText="1"/>
    </xf>
    <xf numFmtId="165" fontId="2" fillId="4" borderId="1" xfId="1" applyNumberFormat="1" applyFont="1" applyFill="1" applyBorder="1" applyAlignment="1">
      <alignment horizontal="center" vertical="center"/>
    </xf>
    <xf numFmtId="165" fontId="2" fillId="4" borderId="2" xfId="1" applyNumberFormat="1" applyFont="1" applyFill="1" applyBorder="1" applyAlignment="1">
      <alignment horizontal="center" vertical="center"/>
    </xf>
    <xf numFmtId="165" fontId="2" fillId="4" borderId="3" xfId="1" applyNumberFormat="1" applyFont="1" applyFill="1" applyBorder="1" applyAlignment="1">
      <alignment horizontal="center" vertical="center"/>
    </xf>
    <xf numFmtId="165" fontId="3" fillId="5" borderId="4" xfId="1" applyNumberFormat="1" applyFont="1" applyFill="1" applyBorder="1" applyAlignment="1">
      <alignment horizontal="left" vertical="center"/>
    </xf>
    <xf numFmtId="165" fontId="3" fillId="5" borderId="6" xfId="1" applyNumberFormat="1" applyFont="1" applyFill="1" applyBorder="1" applyAlignment="1">
      <alignment horizontal="left" vertical="center"/>
    </xf>
    <xf numFmtId="0" fontId="4" fillId="5" borderId="0" xfId="1" applyFont="1" applyFill="1" applyBorder="1" applyAlignment="1" applyProtection="1">
      <alignment horizontal="center" vertical="center" wrapText="1"/>
    </xf>
    <xf numFmtId="0" fontId="4" fillId="5" borderId="0" xfId="1" applyFont="1" applyFill="1" applyBorder="1" applyAlignment="1" applyProtection="1">
      <alignment horizontal="center" vertical="center"/>
    </xf>
    <xf numFmtId="0" fontId="4" fillId="5" borderId="5" xfId="1" applyFont="1" applyFill="1" applyBorder="1" applyAlignment="1" applyProtection="1">
      <alignment horizontal="center" vertical="center"/>
    </xf>
    <xf numFmtId="165" fontId="10" fillId="4" borderId="4" xfId="2" applyNumberFormat="1" applyFont="1" applyFill="1" applyBorder="1" applyAlignment="1">
      <alignment horizontal="center" vertical="center"/>
    </xf>
    <xf numFmtId="165" fontId="10" fillId="4" borderId="0" xfId="2" applyNumberFormat="1" applyFont="1" applyFill="1" applyBorder="1" applyAlignment="1">
      <alignment horizontal="center" vertical="center"/>
    </xf>
    <xf numFmtId="165" fontId="10" fillId="4" borderId="5" xfId="2" applyNumberFormat="1" applyFont="1" applyFill="1" applyBorder="1" applyAlignment="1">
      <alignment horizontal="center" vertical="center"/>
    </xf>
    <xf numFmtId="165" fontId="10" fillId="4" borderId="9" xfId="2" applyNumberFormat="1" applyFont="1" applyFill="1" applyBorder="1" applyAlignment="1">
      <alignment horizontal="center" vertical="center"/>
    </xf>
    <xf numFmtId="165" fontId="10" fillId="4" borderId="10" xfId="2" applyNumberFormat="1" applyFont="1" applyFill="1" applyBorder="1" applyAlignment="1">
      <alignment horizontal="center" vertical="center"/>
    </xf>
    <xf numFmtId="165" fontId="10" fillId="4" borderId="11" xfId="2" applyNumberFormat="1" applyFont="1" applyFill="1" applyBorder="1" applyAlignment="1">
      <alignment horizontal="center" vertical="center"/>
    </xf>
    <xf numFmtId="166" fontId="10" fillId="11" borderId="10" xfId="2" applyNumberFormat="1" applyFont="1" applyFill="1" applyBorder="1" applyAlignment="1">
      <alignment horizontal="right" vertical="center"/>
    </xf>
    <xf numFmtId="166" fontId="10" fillId="11" borderId="11" xfId="2" applyNumberFormat="1" applyFont="1" applyFill="1" applyBorder="1" applyAlignment="1">
      <alignment horizontal="right" vertical="center"/>
    </xf>
    <xf numFmtId="166" fontId="10" fillId="5" borderId="2" xfId="4" applyNumberFormat="1" applyFont="1" applyFill="1" applyBorder="1" applyAlignment="1">
      <alignment horizontal="right" vertical="center"/>
    </xf>
    <xf numFmtId="166" fontId="10" fillId="5" borderId="3" xfId="4" applyNumberFormat="1" applyFont="1" applyFill="1" applyBorder="1" applyAlignment="1">
      <alignment horizontal="right" vertical="center"/>
    </xf>
    <xf numFmtId="166" fontId="10" fillId="5" borderId="12" xfId="5" applyNumberFormat="1" applyFont="1" applyFill="1" applyBorder="1" applyAlignment="1">
      <alignment horizontal="right"/>
    </xf>
    <xf numFmtId="166" fontId="10" fillId="5" borderId="13" xfId="5" applyNumberFormat="1" applyFont="1" applyFill="1" applyBorder="1" applyAlignment="1">
      <alignment horizontal="right"/>
    </xf>
    <xf numFmtId="165" fontId="3" fillId="5" borderId="4" xfId="1" applyNumberFormat="1" applyFont="1" applyFill="1" applyBorder="1" applyAlignment="1">
      <alignment horizontal="center" vertical="center"/>
    </xf>
    <xf numFmtId="165" fontId="3" fillId="5" borderId="6" xfId="1" applyNumberFormat="1" applyFont="1" applyFill="1" applyBorder="1" applyAlignment="1">
      <alignment horizontal="center" vertical="center"/>
    </xf>
  </cellXfs>
  <cellStyles count="7">
    <cellStyle name="Accent1" xfId="1" builtinId="29"/>
    <cellStyle name="Accent4" xfId="2" builtinId="41"/>
    <cellStyle name="Binlik Ayracı 2" xfId="3" xr:uid="{00000000-0005-0000-0000-000000000000}"/>
    <cellStyle name="Comma" xfId="6" builtinId="3"/>
    <cellStyle name="Normal" xfId="0" builtinId="0"/>
    <cellStyle name="Normal 2" xfId="5" xr:uid="{00000000-0005-0000-0000-000002000000}"/>
    <cellStyle name="Yüzde 2" xfId="4" xr:uid="{00000000-0005-0000-0000-000006000000}"/>
  </cellStyles>
  <dxfs count="5">
    <dxf>
      <numFmt numFmtId="171" formatCode="0;;;@"/>
    </dxf>
    <dxf>
      <numFmt numFmtId="171" formatCode="0;;;@"/>
    </dxf>
    <dxf>
      <numFmt numFmtId="171" formatCode="0;;;@"/>
    </dxf>
    <dxf>
      <numFmt numFmtId="171" formatCode="0;;;@"/>
    </dxf>
    <dxf>
      <numFmt numFmtId="171" formatCode="0;;;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70"/>
  <sheetViews>
    <sheetView topLeftCell="B38" zoomScale="80" zoomScaleNormal="80" workbookViewId="0">
      <selection activeCell="N56" sqref="N56"/>
    </sheetView>
  </sheetViews>
  <sheetFormatPr defaultRowHeight="14.4" x14ac:dyDescent="0.3"/>
  <cols>
    <col min="1" max="1" width="36.6640625" bestFit="1" customWidth="1"/>
    <col min="2" max="10" width="14.33203125" customWidth="1"/>
  </cols>
  <sheetData>
    <row r="1" spans="1:10" ht="22.5" customHeight="1" x14ac:dyDescent="0.3">
      <c r="A1" s="53" t="s">
        <v>0</v>
      </c>
      <c r="B1" s="54"/>
      <c r="C1" s="54"/>
      <c r="D1" s="54"/>
      <c r="E1" s="54"/>
      <c r="F1" s="54"/>
      <c r="G1" s="54"/>
      <c r="H1" s="54"/>
      <c r="I1" s="54"/>
      <c r="J1" s="55"/>
    </row>
    <row r="2" spans="1:10" ht="27" customHeight="1" x14ac:dyDescent="0.3">
      <c r="A2" s="56" t="s">
        <v>1</v>
      </c>
      <c r="B2" s="58" t="s">
        <v>65</v>
      </c>
      <c r="C2" s="58"/>
      <c r="D2" s="58"/>
      <c r="E2" s="58" t="s">
        <v>66</v>
      </c>
      <c r="F2" s="58"/>
      <c r="G2" s="58"/>
      <c r="H2" s="59"/>
      <c r="I2" s="59"/>
      <c r="J2" s="60"/>
    </row>
    <row r="3" spans="1:10" x14ac:dyDescent="0.3">
      <c r="A3" s="57"/>
      <c r="B3" s="1" t="s">
        <v>2</v>
      </c>
      <c r="C3" s="1" t="s">
        <v>3</v>
      </c>
      <c r="D3" s="1" t="s">
        <v>4</v>
      </c>
      <c r="E3" s="1" t="s">
        <v>2</v>
      </c>
      <c r="F3" s="1" t="s">
        <v>3</v>
      </c>
      <c r="G3" s="1" t="s">
        <v>4</v>
      </c>
      <c r="H3" s="1"/>
      <c r="I3" s="1"/>
      <c r="J3" s="2"/>
    </row>
    <row r="4" spans="1:10" x14ac:dyDescent="0.3">
      <c r="A4" s="10" t="s">
        <v>5</v>
      </c>
      <c r="B4" s="3">
        <v>136005</v>
      </c>
      <c r="C4" s="3">
        <v>328641</v>
      </c>
      <c r="D4" s="3">
        <f>+B4+C4</f>
        <v>464646</v>
      </c>
      <c r="E4" s="3">
        <v>38604</v>
      </c>
      <c r="F4" s="3">
        <v>99675</v>
      </c>
      <c r="G4" s="3">
        <f>SUM(E4:F4)</f>
        <v>138279</v>
      </c>
      <c r="H4" s="4"/>
      <c r="I4" s="4"/>
      <c r="J4" s="5"/>
    </row>
    <row r="5" spans="1:10" x14ac:dyDescent="0.3">
      <c r="A5" s="6" t="s">
        <v>62</v>
      </c>
      <c r="B5" s="7">
        <v>544</v>
      </c>
      <c r="C5" s="7">
        <v>231</v>
      </c>
      <c r="D5" s="7">
        <f t="shared" ref="D5:D59" si="0">+B5+C5</f>
        <v>775</v>
      </c>
      <c r="E5" s="7">
        <v>82433</v>
      </c>
      <c r="F5" s="7">
        <v>247467</v>
      </c>
      <c r="G5" s="7">
        <f>+E5+F5</f>
        <v>329900</v>
      </c>
      <c r="H5" s="8"/>
      <c r="I5" s="8"/>
      <c r="J5" s="9"/>
    </row>
    <row r="6" spans="1:10" x14ac:dyDescent="0.3">
      <c r="A6" s="10" t="s">
        <v>50</v>
      </c>
      <c r="B6" s="3">
        <v>145234</v>
      </c>
      <c r="C6" s="3">
        <v>87041</v>
      </c>
      <c r="D6" s="3">
        <f t="shared" si="0"/>
        <v>232275</v>
      </c>
      <c r="E6" s="3">
        <v>135203</v>
      </c>
      <c r="F6" s="3">
        <v>100514</v>
      </c>
      <c r="G6" s="3">
        <f t="shared" ref="G6:G59" si="1">SUM(E6:F6)</f>
        <v>235717</v>
      </c>
      <c r="H6" s="4"/>
      <c r="I6" s="4"/>
      <c r="J6" s="5"/>
    </row>
    <row r="7" spans="1:10" x14ac:dyDescent="0.3">
      <c r="A7" s="6" t="s">
        <v>6</v>
      </c>
      <c r="B7" s="7">
        <v>100258</v>
      </c>
      <c r="C7" s="7">
        <v>19513</v>
      </c>
      <c r="D7" s="7">
        <f t="shared" si="0"/>
        <v>119771</v>
      </c>
      <c r="E7" s="7">
        <v>78871</v>
      </c>
      <c r="F7" s="7">
        <v>20371</v>
      </c>
      <c r="G7" s="7">
        <f t="shared" si="1"/>
        <v>99242</v>
      </c>
      <c r="H7" s="8"/>
      <c r="I7" s="8"/>
      <c r="J7" s="9"/>
    </row>
    <row r="8" spans="1:10" x14ac:dyDescent="0.3">
      <c r="A8" s="10" t="s">
        <v>7</v>
      </c>
      <c r="B8" s="3">
        <v>71466</v>
      </c>
      <c r="C8" s="3">
        <v>19981</v>
      </c>
      <c r="D8" s="3">
        <f t="shared" si="0"/>
        <v>91447</v>
      </c>
      <c r="E8" s="3">
        <v>59669</v>
      </c>
      <c r="F8" s="3">
        <v>23916</v>
      </c>
      <c r="G8" s="3">
        <f t="shared" si="1"/>
        <v>83585</v>
      </c>
      <c r="H8" s="4"/>
      <c r="I8" s="4"/>
      <c r="J8" s="5"/>
    </row>
    <row r="9" spans="1:10" x14ac:dyDescent="0.3">
      <c r="A9" s="6" t="s">
        <v>8</v>
      </c>
      <c r="B9" s="7">
        <v>53112</v>
      </c>
      <c r="C9" s="7">
        <v>138448</v>
      </c>
      <c r="D9" s="7">
        <f t="shared" si="0"/>
        <v>191560</v>
      </c>
      <c r="E9" s="7">
        <v>51515</v>
      </c>
      <c r="F9" s="7">
        <v>161003</v>
      </c>
      <c r="G9" s="7">
        <f t="shared" si="1"/>
        <v>212518</v>
      </c>
      <c r="H9" s="8"/>
      <c r="I9" s="8"/>
      <c r="J9" s="9"/>
    </row>
    <row r="10" spans="1:10" x14ac:dyDescent="0.3">
      <c r="A10" s="10" t="s">
        <v>51</v>
      </c>
      <c r="B10" s="3">
        <v>4540</v>
      </c>
      <c r="C10" s="3">
        <v>3967</v>
      </c>
      <c r="D10" s="3">
        <f t="shared" si="0"/>
        <v>8507</v>
      </c>
      <c r="E10" s="3">
        <v>4131</v>
      </c>
      <c r="F10" s="3">
        <v>3802</v>
      </c>
      <c r="G10" s="3">
        <f t="shared" si="1"/>
        <v>7933</v>
      </c>
      <c r="H10" s="4"/>
      <c r="I10" s="4"/>
      <c r="J10" s="5"/>
    </row>
    <row r="11" spans="1:10" x14ac:dyDescent="0.3">
      <c r="A11" s="6" t="s">
        <v>9</v>
      </c>
      <c r="B11" s="7">
        <v>17251</v>
      </c>
      <c r="C11" s="7">
        <v>18220</v>
      </c>
      <c r="D11" s="7">
        <f t="shared" si="0"/>
        <v>35471</v>
      </c>
      <c r="E11" s="7">
        <v>22477</v>
      </c>
      <c r="F11" s="7">
        <v>20236</v>
      </c>
      <c r="G11" s="7">
        <f t="shared" si="1"/>
        <v>42713</v>
      </c>
      <c r="H11" s="8"/>
      <c r="I11" s="8"/>
      <c r="J11" s="9"/>
    </row>
    <row r="12" spans="1:10" x14ac:dyDescent="0.3">
      <c r="A12" s="10" t="s">
        <v>10</v>
      </c>
      <c r="B12" s="3">
        <v>21272</v>
      </c>
      <c r="C12" s="3">
        <v>11873</v>
      </c>
      <c r="D12" s="3">
        <f t="shared" si="0"/>
        <v>33145</v>
      </c>
      <c r="E12" s="3">
        <v>21137</v>
      </c>
      <c r="F12" s="3">
        <v>13847</v>
      </c>
      <c r="G12" s="3">
        <f t="shared" si="1"/>
        <v>34984</v>
      </c>
      <c r="H12" s="4"/>
      <c r="I12" s="4"/>
      <c r="J12" s="5"/>
    </row>
    <row r="13" spans="1:10" x14ac:dyDescent="0.3">
      <c r="A13" s="6" t="s">
        <v>11</v>
      </c>
      <c r="B13" s="7">
        <v>35359</v>
      </c>
      <c r="C13" s="7">
        <v>5808</v>
      </c>
      <c r="D13" s="7">
        <f t="shared" si="0"/>
        <v>41167</v>
      </c>
      <c r="E13" s="7">
        <v>34147</v>
      </c>
      <c r="F13" s="7">
        <v>6511</v>
      </c>
      <c r="G13" s="7">
        <f t="shared" si="1"/>
        <v>40658</v>
      </c>
      <c r="H13" s="8"/>
      <c r="I13" s="8"/>
      <c r="J13" s="9"/>
    </row>
    <row r="14" spans="1:10" x14ac:dyDescent="0.3">
      <c r="A14" s="10" t="s">
        <v>12</v>
      </c>
      <c r="B14" s="3">
        <v>24100</v>
      </c>
      <c r="C14" s="3">
        <v>3433</v>
      </c>
      <c r="D14" s="3">
        <f t="shared" si="0"/>
        <v>27533</v>
      </c>
      <c r="E14" s="3">
        <v>21505</v>
      </c>
      <c r="F14" s="3">
        <v>4421</v>
      </c>
      <c r="G14" s="3">
        <f t="shared" si="1"/>
        <v>25926</v>
      </c>
      <c r="H14" s="4"/>
      <c r="I14" s="4"/>
      <c r="J14" s="5"/>
    </row>
    <row r="15" spans="1:10" x14ac:dyDescent="0.3">
      <c r="A15" s="6" t="s">
        <v>13</v>
      </c>
      <c r="B15" s="7">
        <v>9272</v>
      </c>
      <c r="C15" s="7">
        <v>226</v>
      </c>
      <c r="D15" s="7">
        <f t="shared" si="0"/>
        <v>9498</v>
      </c>
      <c r="E15" s="7">
        <v>6791</v>
      </c>
      <c r="F15" s="7">
        <v>159</v>
      </c>
      <c r="G15" s="7">
        <f t="shared" si="1"/>
        <v>6950</v>
      </c>
      <c r="H15" s="8"/>
      <c r="I15" s="8"/>
      <c r="J15" s="9"/>
    </row>
    <row r="16" spans="1:10" x14ac:dyDescent="0.3">
      <c r="A16" s="10" t="s">
        <v>14</v>
      </c>
      <c r="B16" s="3">
        <v>17686</v>
      </c>
      <c r="C16" s="3">
        <v>2041</v>
      </c>
      <c r="D16" s="3">
        <f t="shared" si="0"/>
        <v>19727</v>
      </c>
      <c r="E16" s="3">
        <v>16858</v>
      </c>
      <c r="F16" s="3">
        <v>2695</v>
      </c>
      <c r="G16" s="3">
        <f t="shared" si="1"/>
        <v>19553</v>
      </c>
      <c r="H16" s="4"/>
      <c r="I16" s="4"/>
      <c r="J16" s="5"/>
    </row>
    <row r="17" spans="1:10" x14ac:dyDescent="0.3">
      <c r="A17" s="6" t="s">
        <v>15</v>
      </c>
      <c r="B17" s="7">
        <v>2002</v>
      </c>
      <c r="C17" s="7">
        <v>42</v>
      </c>
      <c r="D17" s="7">
        <f t="shared" si="0"/>
        <v>2044</v>
      </c>
      <c r="E17" s="7">
        <v>1862</v>
      </c>
      <c r="F17" s="7">
        <v>18</v>
      </c>
      <c r="G17" s="7">
        <f t="shared" si="1"/>
        <v>1880</v>
      </c>
      <c r="H17" s="8"/>
      <c r="I17" s="8"/>
      <c r="J17" s="9"/>
    </row>
    <row r="18" spans="1:10" x14ac:dyDescent="0.3">
      <c r="A18" s="10" t="s">
        <v>16</v>
      </c>
      <c r="B18" s="3">
        <v>2373</v>
      </c>
      <c r="C18" s="3">
        <v>35</v>
      </c>
      <c r="D18" s="3">
        <f t="shared" si="0"/>
        <v>2408</v>
      </c>
      <c r="E18" s="3">
        <v>2314</v>
      </c>
      <c r="F18" s="3">
        <v>6</v>
      </c>
      <c r="G18" s="3">
        <f t="shared" si="1"/>
        <v>2320</v>
      </c>
      <c r="H18" s="4"/>
      <c r="I18" s="4"/>
      <c r="J18" s="5"/>
    </row>
    <row r="19" spans="1:10" x14ac:dyDescent="0.3">
      <c r="A19" s="6" t="s">
        <v>17</v>
      </c>
      <c r="B19" s="7">
        <v>1324</v>
      </c>
      <c r="C19" s="7">
        <v>95</v>
      </c>
      <c r="D19" s="7">
        <f t="shared" si="0"/>
        <v>1419</v>
      </c>
      <c r="E19" s="7">
        <v>1219</v>
      </c>
      <c r="F19" s="7">
        <v>58</v>
      </c>
      <c r="G19" s="7">
        <f t="shared" si="1"/>
        <v>1277</v>
      </c>
      <c r="H19" s="8"/>
      <c r="I19" s="8"/>
      <c r="J19" s="9"/>
    </row>
    <row r="20" spans="1:10" x14ac:dyDescent="0.3">
      <c r="A20" s="10" t="s">
        <v>52</v>
      </c>
      <c r="B20" s="3">
        <v>20427</v>
      </c>
      <c r="C20" s="3">
        <v>0</v>
      </c>
      <c r="D20" s="3">
        <f t="shared" si="0"/>
        <v>20427</v>
      </c>
      <c r="E20" s="3">
        <v>20154</v>
      </c>
      <c r="F20" s="3">
        <v>0</v>
      </c>
      <c r="G20" s="3">
        <f t="shared" si="1"/>
        <v>20154</v>
      </c>
      <c r="H20" s="4"/>
      <c r="I20" s="4"/>
      <c r="J20" s="5"/>
    </row>
    <row r="21" spans="1:10" x14ac:dyDescent="0.3">
      <c r="A21" s="6" t="s">
        <v>18</v>
      </c>
      <c r="B21" s="7">
        <v>20068</v>
      </c>
      <c r="C21" s="7">
        <v>151</v>
      </c>
      <c r="D21" s="7">
        <f t="shared" si="0"/>
        <v>20219</v>
      </c>
      <c r="E21" s="7">
        <v>22098</v>
      </c>
      <c r="F21" s="7">
        <v>71</v>
      </c>
      <c r="G21" s="7">
        <f t="shared" si="1"/>
        <v>22169</v>
      </c>
      <c r="H21" s="8"/>
      <c r="I21" s="8"/>
      <c r="J21" s="9"/>
    </row>
    <row r="22" spans="1:10" x14ac:dyDescent="0.3">
      <c r="A22" s="10" t="s">
        <v>19</v>
      </c>
      <c r="B22" s="3">
        <v>90</v>
      </c>
      <c r="C22" s="3">
        <v>17</v>
      </c>
      <c r="D22" s="3">
        <f t="shared" si="0"/>
        <v>107</v>
      </c>
      <c r="E22" s="3">
        <v>96</v>
      </c>
      <c r="F22" s="3">
        <v>0</v>
      </c>
      <c r="G22" s="3">
        <f t="shared" si="1"/>
        <v>96</v>
      </c>
      <c r="H22" s="4"/>
      <c r="I22" s="4"/>
      <c r="J22" s="5"/>
    </row>
    <row r="23" spans="1:10" x14ac:dyDescent="0.3">
      <c r="A23" s="6" t="s">
        <v>20</v>
      </c>
      <c r="B23" s="7">
        <v>4635</v>
      </c>
      <c r="C23" s="7">
        <v>36</v>
      </c>
      <c r="D23" s="7">
        <f t="shared" si="0"/>
        <v>4671</v>
      </c>
      <c r="E23" s="7">
        <v>3397</v>
      </c>
      <c r="F23" s="7">
        <v>13</v>
      </c>
      <c r="G23" s="7">
        <f t="shared" si="1"/>
        <v>3410</v>
      </c>
      <c r="H23" s="8"/>
      <c r="I23" s="8"/>
      <c r="J23" s="9"/>
    </row>
    <row r="24" spans="1:10" x14ac:dyDescent="0.3">
      <c r="A24" s="10" t="s">
        <v>21</v>
      </c>
      <c r="B24" s="3">
        <v>1634</v>
      </c>
      <c r="C24" s="3">
        <v>14</v>
      </c>
      <c r="D24" s="3">
        <f t="shared" si="0"/>
        <v>1648</v>
      </c>
      <c r="E24" s="3">
        <v>1484</v>
      </c>
      <c r="F24" s="3">
        <v>6</v>
      </c>
      <c r="G24" s="3">
        <f t="shared" si="1"/>
        <v>1490</v>
      </c>
      <c r="H24" s="4"/>
      <c r="I24" s="4"/>
      <c r="J24" s="5"/>
    </row>
    <row r="25" spans="1:10" x14ac:dyDescent="0.3">
      <c r="A25" s="6" t="s">
        <v>22</v>
      </c>
      <c r="B25" s="7">
        <v>4936</v>
      </c>
      <c r="C25" s="7">
        <v>271</v>
      </c>
      <c r="D25" s="7">
        <f t="shared" si="0"/>
        <v>5207</v>
      </c>
      <c r="E25" s="7">
        <v>6063</v>
      </c>
      <c r="F25" s="7">
        <v>236</v>
      </c>
      <c r="G25" s="7">
        <f t="shared" si="1"/>
        <v>6299</v>
      </c>
      <c r="H25" s="8"/>
      <c r="I25" s="8"/>
      <c r="J25" s="9"/>
    </row>
    <row r="26" spans="1:10" x14ac:dyDescent="0.3">
      <c r="A26" s="10" t="s">
        <v>23</v>
      </c>
      <c r="B26" s="3">
        <v>5219</v>
      </c>
      <c r="C26" s="3">
        <v>97</v>
      </c>
      <c r="D26" s="3">
        <f t="shared" si="0"/>
        <v>5316</v>
      </c>
      <c r="E26" s="3">
        <v>5849</v>
      </c>
      <c r="F26" s="3">
        <v>56</v>
      </c>
      <c r="G26" s="3">
        <f t="shared" si="1"/>
        <v>5905</v>
      </c>
      <c r="H26" s="4"/>
      <c r="I26" s="4"/>
      <c r="J26" s="5"/>
    </row>
    <row r="27" spans="1:10" x14ac:dyDescent="0.3">
      <c r="A27" s="6" t="s">
        <v>24</v>
      </c>
      <c r="B27" s="7">
        <v>76</v>
      </c>
      <c r="C27" s="7">
        <v>0</v>
      </c>
      <c r="D27" s="7">
        <f t="shared" si="0"/>
        <v>76</v>
      </c>
      <c r="E27" s="7">
        <v>26</v>
      </c>
      <c r="F27" s="7">
        <v>0</v>
      </c>
      <c r="G27" s="7">
        <f t="shared" si="1"/>
        <v>26</v>
      </c>
      <c r="H27" s="8"/>
      <c r="I27" s="8"/>
      <c r="J27" s="9"/>
    </row>
    <row r="28" spans="1:10" x14ac:dyDescent="0.3">
      <c r="A28" s="10" t="s">
        <v>25</v>
      </c>
      <c r="B28" s="3">
        <v>5281</v>
      </c>
      <c r="C28" s="3">
        <v>561</v>
      </c>
      <c r="D28" s="3">
        <f t="shared" si="0"/>
        <v>5842</v>
      </c>
      <c r="E28" s="3">
        <v>5338</v>
      </c>
      <c r="F28" s="3">
        <v>674</v>
      </c>
      <c r="G28" s="3">
        <f t="shared" si="1"/>
        <v>6012</v>
      </c>
      <c r="H28" s="4"/>
      <c r="I28" s="4"/>
      <c r="J28" s="5"/>
    </row>
    <row r="29" spans="1:10" x14ac:dyDescent="0.3">
      <c r="A29" s="6" t="s">
        <v>26</v>
      </c>
      <c r="B29" s="7">
        <v>12824</v>
      </c>
      <c r="C29" s="7">
        <v>451</v>
      </c>
      <c r="D29" s="7">
        <f t="shared" si="0"/>
        <v>13275</v>
      </c>
      <c r="E29" s="7">
        <v>10585</v>
      </c>
      <c r="F29" s="7">
        <v>639</v>
      </c>
      <c r="G29" s="7">
        <f t="shared" si="1"/>
        <v>11224</v>
      </c>
      <c r="H29" s="8"/>
      <c r="I29" s="8"/>
      <c r="J29" s="9"/>
    </row>
    <row r="30" spans="1:10" x14ac:dyDescent="0.3">
      <c r="A30" s="10" t="s">
        <v>27</v>
      </c>
      <c r="B30" s="3">
        <v>6674</v>
      </c>
      <c r="C30" s="3">
        <v>297</v>
      </c>
      <c r="D30" s="3">
        <f t="shared" si="0"/>
        <v>6971</v>
      </c>
      <c r="E30" s="3">
        <v>5805</v>
      </c>
      <c r="F30" s="3">
        <v>313</v>
      </c>
      <c r="G30" s="3">
        <f t="shared" si="1"/>
        <v>6118</v>
      </c>
      <c r="H30" s="4"/>
      <c r="I30" s="4"/>
      <c r="J30" s="5"/>
    </row>
    <row r="31" spans="1:10" x14ac:dyDescent="0.3">
      <c r="A31" s="6" t="s">
        <v>28</v>
      </c>
      <c r="B31" s="7">
        <v>3644</v>
      </c>
      <c r="C31" s="7">
        <v>13</v>
      </c>
      <c r="D31" s="7">
        <f t="shared" si="0"/>
        <v>3657</v>
      </c>
      <c r="E31" s="7">
        <v>2970</v>
      </c>
      <c r="F31" s="7">
        <v>18</v>
      </c>
      <c r="G31" s="7">
        <f t="shared" si="1"/>
        <v>2988</v>
      </c>
      <c r="H31" s="8"/>
      <c r="I31" s="8"/>
      <c r="J31" s="9"/>
    </row>
    <row r="32" spans="1:10" x14ac:dyDescent="0.3">
      <c r="A32" s="10" t="s">
        <v>53</v>
      </c>
      <c r="B32" s="3">
        <v>4339</v>
      </c>
      <c r="C32" s="3">
        <v>759</v>
      </c>
      <c r="D32" s="3">
        <f t="shared" si="0"/>
        <v>5098</v>
      </c>
      <c r="E32" s="3">
        <v>5467</v>
      </c>
      <c r="F32" s="3">
        <v>681</v>
      </c>
      <c r="G32" s="3">
        <f t="shared" si="1"/>
        <v>6148</v>
      </c>
      <c r="H32" s="4"/>
      <c r="I32" s="4"/>
      <c r="J32" s="5"/>
    </row>
    <row r="33" spans="1:10" x14ac:dyDescent="0.3">
      <c r="A33" s="6" t="s">
        <v>61</v>
      </c>
      <c r="B33" s="7">
        <v>1657</v>
      </c>
      <c r="C33" s="7">
        <v>1</v>
      </c>
      <c r="D33" s="7">
        <f t="shared" si="0"/>
        <v>1658</v>
      </c>
      <c r="E33" s="7">
        <v>1822</v>
      </c>
      <c r="F33" s="7">
        <v>0</v>
      </c>
      <c r="G33" s="7">
        <f t="shared" si="1"/>
        <v>1822</v>
      </c>
      <c r="H33" s="8"/>
      <c r="I33" s="8"/>
      <c r="J33" s="9"/>
    </row>
    <row r="34" spans="1:10" x14ac:dyDescent="0.3">
      <c r="A34" s="10" t="s">
        <v>29</v>
      </c>
      <c r="B34" s="3">
        <v>7710</v>
      </c>
      <c r="C34" s="3">
        <v>2204</v>
      </c>
      <c r="D34" s="3">
        <f t="shared" si="0"/>
        <v>9914</v>
      </c>
      <c r="E34" s="3">
        <v>6662</v>
      </c>
      <c r="F34" s="3">
        <v>2099</v>
      </c>
      <c r="G34" s="3">
        <f t="shared" si="1"/>
        <v>8761</v>
      </c>
      <c r="H34" s="4"/>
      <c r="I34" s="4"/>
      <c r="J34" s="5"/>
    </row>
    <row r="35" spans="1:10" x14ac:dyDescent="0.3">
      <c r="A35" s="6" t="s">
        <v>60</v>
      </c>
      <c r="B35" s="7">
        <v>2136</v>
      </c>
      <c r="C35" s="7">
        <v>0</v>
      </c>
      <c r="D35" s="7">
        <f t="shared" si="0"/>
        <v>2136</v>
      </c>
      <c r="E35" s="7">
        <v>2048</v>
      </c>
      <c r="F35" s="7">
        <v>15</v>
      </c>
      <c r="G35" s="7">
        <f t="shared" si="1"/>
        <v>2063</v>
      </c>
      <c r="H35" s="8"/>
      <c r="I35" s="8"/>
      <c r="J35" s="9"/>
    </row>
    <row r="36" spans="1:10" x14ac:dyDescent="0.3">
      <c r="A36" s="10" t="s">
        <v>30</v>
      </c>
      <c r="B36" s="3">
        <v>22649</v>
      </c>
      <c r="C36" s="3">
        <v>482</v>
      </c>
      <c r="D36" s="3">
        <f t="shared" si="0"/>
        <v>23131</v>
      </c>
      <c r="E36" s="3">
        <v>23371</v>
      </c>
      <c r="F36" s="3">
        <v>393</v>
      </c>
      <c r="G36" s="3">
        <f t="shared" si="1"/>
        <v>23764</v>
      </c>
      <c r="H36" s="4"/>
      <c r="I36" s="4"/>
      <c r="J36" s="5"/>
    </row>
    <row r="37" spans="1:10" x14ac:dyDescent="0.3">
      <c r="A37" s="6" t="s">
        <v>31</v>
      </c>
      <c r="B37" s="7">
        <v>2683</v>
      </c>
      <c r="C37" s="7">
        <v>21</v>
      </c>
      <c r="D37" s="7">
        <f t="shared" si="0"/>
        <v>2704</v>
      </c>
      <c r="E37" s="7">
        <v>2224</v>
      </c>
      <c r="F37" s="7">
        <v>14</v>
      </c>
      <c r="G37" s="7">
        <f t="shared" si="1"/>
        <v>2238</v>
      </c>
      <c r="H37" s="8"/>
      <c r="I37" s="8"/>
      <c r="J37" s="9"/>
    </row>
    <row r="38" spans="1:10" x14ac:dyDescent="0.3">
      <c r="A38" s="10" t="s">
        <v>32</v>
      </c>
      <c r="B38" s="3">
        <v>4049</v>
      </c>
      <c r="C38" s="3">
        <v>10</v>
      </c>
      <c r="D38" s="3">
        <f t="shared" si="0"/>
        <v>4059</v>
      </c>
      <c r="E38" s="3">
        <v>3526</v>
      </c>
      <c r="F38" s="3">
        <v>16</v>
      </c>
      <c r="G38" s="3">
        <f t="shared" si="1"/>
        <v>3542</v>
      </c>
      <c r="H38" s="4"/>
      <c r="I38" s="4"/>
      <c r="J38" s="5"/>
    </row>
    <row r="39" spans="1:10" x14ac:dyDescent="0.3">
      <c r="A39" s="6" t="s">
        <v>33</v>
      </c>
      <c r="B39" s="7">
        <v>947</v>
      </c>
      <c r="C39" s="7">
        <v>28</v>
      </c>
      <c r="D39" s="7">
        <f t="shared" si="0"/>
        <v>975</v>
      </c>
      <c r="E39" s="7">
        <v>664</v>
      </c>
      <c r="F39" s="7">
        <v>31</v>
      </c>
      <c r="G39" s="7">
        <f t="shared" si="1"/>
        <v>695</v>
      </c>
      <c r="H39" s="8"/>
      <c r="I39" s="8"/>
      <c r="J39" s="9"/>
    </row>
    <row r="40" spans="1:10" x14ac:dyDescent="0.3">
      <c r="A40" s="10" t="s">
        <v>34</v>
      </c>
      <c r="B40" s="3">
        <v>12170</v>
      </c>
      <c r="C40" s="3">
        <v>2463</v>
      </c>
      <c r="D40" s="3">
        <f t="shared" si="0"/>
        <v>14633</v>
      </c>
      <c r="E40" s="3">
        <v>12605</v>
      </c>
      <c r="F40" s="3">
        <v>2455</v>
      </c>
      <c r="G40" s="3">
        <f t="shared" si="1"/>
        <v>15060</v>
      </c>
      <c r="H40" s="4"/>
      <c r="I40" s="39"/>
      <c r="J40" s="5"/>
    </row>
    <row r="41" spans="1:10" x14ac:dyDescent="0.3">
      <c r="A41" s="6" t="s">
        <v>35</v>
      </c>
      <c r="B41" s="7">
        <v>2010</v>
      </c>
      <c r="C41" s="7">
        <v>90</v>
      </c>
      <c r="D41" s="7">
        <f t="shared" si="0"/>
        <v>2100</v>
      </c>
      <c r="E41" s="7">
        <v>1235</v>
      </c>
      <c r="F41" s="7">
        <v>117</v>
      </c>
      <c r="G41" s="7">
        <f t="shared" si="1"/>
        <v>1352</v>
      </c>
      <c r="H41" s="8"/>
      <c r="I41" s="8"/>
      <c r="J41" s="9"/>
    </row>
    <row r="42" spans="1:10" x14ac:dyDescent="0.3">
      <c r="A42" s="10" t="s">
        <v>36</v>
      </c>
      <c r="B42" s="3">
        <v>7681</v>
      </c>
      <c r="C42" s="3">
        <v>971</v>
      </c>
      <c r="D42" s="3">
        <f t="shared" si="0"/>
        <v>8652</v>
      </c>
      <c r="E42" s="3">
        <v>6374</v>
      </c>
      <c r="F42" s="3">
        <v>1052</v>
      </c>
      <c r="G42" s="3">
        <f t="shared" si="1"/>
        <v>7426</v>
      </c>
      <c r="H42" s="4"/>
      <c r="I42" s="4"/>
      <c r="J42" s="5"/>
    </row>
    <row r="43" spans="1:10" x14ac:dyDescent="0.3">
      <c r="A43" s="6" t="s">
        <v>37</v>
      </c>
      <c r="B43" s="7">
        <v>6499</v>
      </c>
      <c r="C43" s="7">
        <v>146</v>
      </c>
      <c r="D43" s="7">
        <f t="shared" si="0"/>
        <v>6645</v>
      </c>
      <c r="E43" s="7">
        <v>5275</v>
      </c>
      <c r="F43" s="7">
        <v>114</v>
      </c>
      <c r="G43" s="7">
        <f t="shared" si="1"/>
        <v>5389</v>
      </c>
      <c r="H43" s="8"/>
      <c r="I43" s="8"/>
      <c r="J43" s="9"/>
    </row>
    <row r="44" spans="1:10" x14ac:dyDescent="0.3">
      <c r="A44" s="10" t="s">
        <v>38</v>
      </c>
      <c r="B44" s="3">
        <v>4657</v>
      </c>
      <c r="C44" s="3">
        <v>65</v>
      </c>
      <c r="D44" s="3">
        <f t="shared" si="0"/>
        <v>4722</v>
      </c>
      <c r="E44" s="3">
        <v>3774</v>
      </c>
      <c r="F44" s="3">
        <v>30</v>
      </c>
      <c r="G44" s="3">
        <f t="shared" si="1"/>
        <v>3804</v>
      </c>
      <c r="H44" s="4"/>
      <c r="I44" s="4"/>
      <c r="J44" s="5"/>
    </row>
    <row r="45" spans="1:10" x14ac:dyDescent="0.3">
      <c r="A45" s="6" t="s">
        <v>63</v>
      </c>
      <c r="B45" s="7">
        <v>3022</v>
      </c>
      <c r="C45" s="7">
        <v>20</v>
      </c>
      <c r="D45" s="7">
        <f t="shared" si="0"/>
        <v>3042</v>
      </c>
      <c r="E45" s="7">
        <v>2503</v>
      </c>
      <c r="F45" s="7">
        <v>20</v>
      </c>
      <c r="G45" s="7">
        <f t="shared" si="1"/>
        <v>2523</v>
      </c>
      <c r="H45" s="8"/>
      <c r="I45" s="8"/>
      <c r="J45" s="9"/>
    </row>
    <row r="46" spans="1:10" x14ac:dyDescent="0.3">
      <c r="A46" s="10" t="s">
        <v>39</v>
      </c>
      <c r="B46" s="3">
        <v>8064</v>
      </c>
      <c r="C46" s="3">
        <v>80</v>
      </c>
      <c r="D46" s="3">
        <f t="shared" si="0"/>
        <v>8144</v>
      </c>
      <c r="E46" s="3">
        <v>11415</v>
      </c>
      <c r="F46" s="3">
        <v>118</v>
      </c>
      <c r="G46" s="3">
        <f t="shared" si="1"/>
        <v>11533</v>
      </c>
      <c r="H46" s="4"/>
      <c r="I46" s="4"/>
      <c r="J46" s="5"/>
    </row>
    <row r="47" spans="1:10" x14ac:dyDescent="0.3">
      <c r="A47" s="6" t="s">
        <v>40</v>
      </c>
      <c r="B47" s="7">
        <v>7625</v>
      </c>
      <c r="C47" s="7">
        <v>159</v>
      </c>
      <c r="D47" s="7">
        <f t="shared" si="0"/>
        <v>7784</v>
      </c>
      <c r="E47" s="7">
        <v>7773</v>
      </c>
      <c r="F47" s="7">
        <v>206</v>
      </c>
      <c r="G47" s="7">
        <f t="shared" si="1"/>
        <v>7979</v>
      </c>
      <c r="H47" s="8"/>
      <c r="I47" s="8"/>
      <c r="J47" s="9"/>
    </row>
    <row r="48" spans="1:10" x14ac:dyDescent="0.3">
      <c r="A48" s="10" t="s">
        <v>41</v>
      </c>
      <c r="B48" s="3">
        <v>12843</v>
      </c>
      <c r="C48" s="3">
        <v>1087</v>
      </c>
      <c r="D48" s="3">
        <f t="shared" si="0"/>
        <v>13930</v>
      </c>
      <c r="E48" s="3">
        <v>14019</v>
      </c>
      <c r="F48" s="3">
        <v>1219</v>
      </c>
      <c r="G48" s="3">
        <f t="shared" si="1"/>
        <v>15238</v>
      </c>
      <c r="H48" s="4"/>
      <c r="I48" s="4"/>
      <c r="J48" s="5"/>
    </row>
    <row r="49" spans="1:11" x14ac:dyDescent="0.3">
      <c r="A49" s="6" t="s">
        <v>42</v>
      </c>
      <c r="B49" s="7">
        <v>46</v>
      </c>
      <c r="C49" s="7">
        <v>0</v>
      </c>
      <c r="D49" s="7">
        <f t="shared" si="0"/>
        <v>46</v>
      </c>
      <c r="E49" s="7">
        <v>424</v>
      </c>
      <c r="F49" s="7">
        <v>0</v>
      </c>
      <c r="G49" s="7">
        <f t="shared" si="1"/>
        <v>424</v>
      </c>
      <c r="H49" s="8"/>
      <c r="I49" s="8"/>
      <c r="J49" s="9"/>
    </row>
    <row r="50" spans="1:11" x14ac:dyDescent="0.3">
      <c r="A50" s="10" t="s">
        <v>43</v>
      </c>
      <c r="B50" s="3">
        <v>1750</v>
      </c>
      <c r="C50" s="3">
        <v>332</v>
      </c>
      <c r="D50" s="3">
        <f t="shared" si="0"/>
        <v>2082</v>
      </c>
      <c r="E50" s="3">
        <v>1711</v>
      </c>
      <c r="F50" s="3">
        <v>24</v>
      </c>
      <c r="G50" s="3">
        <f t="shared" si="1"/>
        <v>1735</v>
      </c>
      <c r="H50" s="4"/>
      <c r="I50" s="4"/>
      <c r="J50" s="5"/>
    </row>
    <row r="51" spans="1:11" x14ac:dyDescent="0.3">
      <c r="A51" s="6" t="s">
        <v>44</v>
      </c>
      <c r="B51" s="7">
        <v>4135</v>
      </c>
      <c r="C51" s="7">
        <v>85</v>
      </c>
      <c r="D51" s="7">
        <f t="shared" si="0"/>
        <v>4220</v>
      </c>
      <c r="E51" s="7">
        <v>4175</v>
      </c>
      <c r="F51" s="7">
        <v>50</v>
      </c>
      <c r="G51" s="7">
        <f t="shared" si="1"/>
        <v>4225</v>
      </c>
      <c r="H51" s="8"/>
      <c r="I51" s="8"/>
      <c r="J51" s="40"/>
    </row>
    <row r="52" spans="1:11" x14ac:dyDescent="0.3">
      <c r="A52" s="10" t="s">
        <v>45</v>
      </c>
      <c r="B52" s="3">
        <v>5863</v>
      </c>
      <c r="C52" s="3">
        <v>165</v>
      </c>
      <c r="D52" s="3">
        <f t="shared" si="0"/>
        <v>6028</v>
      </c>
      <c r="E52" s="3">
        <v>5585</v>
      </c>
      <c r="F52" s="3">
        <v>110</v>
      </c>
      <c r="G52" s="3">
        <f t="shared" si="1"/>
        <v>5695</v>
      </c>
      <c r="H52" s="4"/>
      <c r="I52" s="4"/>
      <c r="J52" s="5"/>
    </row>
    <row r="53" spans="1:11" x14ac:dyDescent="0.3">
      <c r="A53" s="6" t="s">
        <v>46</v>
      </c>
      <c r="B53" s="7">
        <v>3008</v>
      </c>
      <c r="C53" s="7">
        <v>10</v>
      </c>
      <c r="D53" s="7">
        <f t="shared" si="0"/>
        <v>3018</v>
      </c>
      <c r="E53" s="7">
        <v>2872</v>
      </c>
      <c r="F53" s="7">
        <v>1</v>
      </c>
      <c r="G53" s="7">
        <f t="shared" si="1"/>
        <v>2873</v>
      </c>
      <c r="H53" s="8"/>
      <c r="I53" s="8"/>
      <c r="J53" s="9"/>
    </row>
    <row r="54" spans="1:11" x14ac:dyDescent="0.3">
      <c r="A54" s="10" t="s">
        <v>64</v>
      </c>
      <c r="B54" s="3">
        <v>22403</v>
      </c>
      <c r="C54" s="3">
        <v>503</v>
      </c>
      <c r="D54" s="3">
        <f t="shared" si="0"/>
        <v>22906</v>
      </c>
      <c r="E54" s="3">
        <v>28535</v>
      </c>
      <c r="F54" s="3">
        <v>571</v>
      </c>
      <c r="G54" s="3">
        <f t="shared" si="1"/>
        <v>29106</v>
      </c>
      <c r="H54" s="4"/>
      <c r="I54" s="4"/>
      <c r="J54" s="5"/>
    </row>
    <row r="55" spans="1:11" x14ac:dyDescent="0.3">
      <c r="A55" s="6" t="s">
        <v>47</v>
      </c>
      <c r="B55" s="7">
        <v>279</v>
      </c>
      <c r="C55" s="7">
        <v>0</v>
      </c>
      <c r="D55" s="7">
        <f t="shared" si="0"/>
        <v>279</v>
      </c>
      <c r="E55" s="7">
        <v>400</v>
      </c>
      <c r="F55" s="7">
        <v>0</v>
      </c>
      <c r="G55" s="7">
        <f t="shared" si="1"/>
        <v>400</v>
      </c>
      <c r="H55" s="8"/>
      <c r="I55" s="8"/>
      <c r="J55" s="9"/>
    </row>
    <row r="56" spans="1:11" x14ac:dyDescent="0.3">
      <c r="A56" s="10" t="s">
        <v>48</v>
      </c>
      <c r="B56" s="3">
        <v>1651</v>
      </c>
      <c r="C56" s="3">
        <v>14</v>
      </c>
      <c r="D56" s="3">
        <f t="shared" si="0"/>
        <v>1665</v>
      </c>
      <c r="E56" s="3">
        <v>6704</v>
      </c>
      <c r="F56" s="3">
        <v>9</v>
      </c>
      <c r="G56" s="3">
        <f t="shared" si="1"/>
        <v>6713</v>
      </c>
      <c r="H56" s="4"/>
      <c r="I56" s="4"/>
      <c r="J56" s="5"/>
    </row>
    <row r="57" spans="1:11" x14ac:dyDescent="0.3">
      <c r="A57" s="6" t="s">
        <v>49</v>
      </c>
      <c r="B57" s="7">
        <v>14309</v>
      </c>
      <c r="C57" s="7">
        <v>87</v>
      </c>
      <c r="D57" s="7">
        <f t="shared" si="0"/>
        <v>14396</v>
      </c>
      <c r="E57" s="7">
        <v>14829</v>
      </c>
      <c r="F57" s="7">
        <v>133</v>
      </c>
      <c r="G57" s="7">
        <f t="shared" si="1"/>
        <v>14962</v>
      </c>
      <c r="H57" s="8"/>
      <c r="I57" s="8"/>
      <c r="J57" s="9"/>
    </row>
    <row r="58" spans="1:11" x14ac:dyDescent="0.3">
      <c r="A58" s="10" t="s">
        <v>54</v>
      </c>
      <c r="B58" s="3">
        <v>713</v>
      </c>
      <c r="C58" s="3">
        <v>250</v>
      </c>
      <c r="D58" s="3">
        <f t="shared" si="0"/>
        <v>963</v>
      </c>
      <c r="E58" s="3">
        <v>664</v>
      </c>
      <c r="F58" s="3">
        <v>229</v>
      </c>
      <c r="G58" s="3">
        <f t="shared" si="1"/>
        <v>893</v>
      </c>
      <c r="H58" s="4"/>
      <c r="I58" s="4"/>
      <c r="J58" s="5"/>
    </row>
    <row r="59" spans="1:11" x14ac:dyDescent="0.3">
      <c r="A59" s="6" t="s">
        <v>55</v>
      </c>
      <c r="B59" s="7">
        <v>201</v>
      </c>
      <c r="C59" s="7">
        <v>229</v>
      </c>
      <c r="D59" s="7">
        <f t="shared" si="0"/>
        <v>430</v>
      </c>
      <c r="E59" s="7">
        <v>637</v>
      </c>
      <c r="F59" s="7">
        <v>91</v>
      </c>
      <c r="G59" s="7">
        <f t="shared" si="1"/>
        <v>728</v>
      </c>
      <c r="H59" s="8"/>
      <c r="I59" s="8"/>
      <c r="J59" s="9"/>
    </row>
    <row r="60" spans="1:11" x14ac:dyDescent="0.3">
      <c r="A60" s="11"/>
      <c r="B60" s="12"/>
      <c r="C60" s="12"/>
      <c r="D60" s="12"/>
      <c r="E60" s="12"/>
      <c r="F60" s="12"/>
      <c r="G60" s="12"/>
      <c r="H60" s="13"/>
      <c r="I60" s="13"/>
      <c r="J60" s="35"/>
      <c r="K60" s="36"/>
    </row>
    <row r="61" spans="1:11" x14ac:dyDescent="0.3">
      <c r="A61" s="14"/>
      <c r="B61" s="15"/>
      <c r="C61" s="15"/>
      <c r="D61" s="15"/>
      <c r="E61" s="15"/>
      <c r="F61" s="15"/>
      <c r="G61" s="15"/>
      <c r="H61" s="16"/>
      <c r="I61" s="16"/>
      <c r="J61" s="17"/>
    </row>
    <row r="62" spans="1:11" ht="15" thickBot="1" x14ac:dyDescent="0.35">
      <c r="A62" s="18"/>
      <c r="B62" s="19"/>
      <c r="C62" s="19"/>
      <c r="D62" s="19"/>
      <c r="E62" s="19"/>
      <c r="F62" s="19"/>
      <c r="G62" s="19"/>
      <c r="H62" s="67"/>
      <c r="I62" s="67"/>
      <c r="J62" s="68"/>
    </row>
    <row r="63" spans="1:11" x14ac:dyDescent="0.3">
      <c r="A63" s="14"/>
      <c r="B63" s="34"/>
      <c r="C63" s="34"/>
      <c r="D63" s="34"/>
      <c r="E63" s="34"/>
      <c r="F63" s="34"/>
      <c r="G63" s="34"/>
      <c r="H63" s="69"/>
      <c r="I63" s="69"/>
      <c r="J63" s="70"/>
    </row>
    <row r="64" spans="1:11" x14ac:dyDescent="0.3">
      <c r="A64" s="61"/>
      <c r="B64" s="62"/>
      <c r="C64" s="62"/>
      <c r="D64" s="62"/>
      <c r="E64" s="62"/>
      <c r="F64" s="62"/>
      <c r="G64" s="62"/>
      <c r="H64" s="62"/>
      <c r="I64" s="62"/>
      <c r="J64" s="63"/>
    </row>
    <row r="65" spans="1:10" ht="15" thickBot="1" x14ac:dyDescent="0.35">
      <c r="A65" s="64"/>
      <c r="B65" s="65"/>
      <c r="C65" s="65"/>
      <c r="D65" s="65"/>
      <c r="E65" s="65"/>
      <c r="F65" s="65"/>
      <c r="G65" s="65"/>
      <c r="H65" s="65"/>
      <c r="I65" s="65"/>
      <c r="J65" s="66"/>
    </row>
    <row r="66" spans="1:10" ht="48.75" customHeight="1" x14ac:dyDescent="0.3">
      <c r="A66" s="52"/>
      <c r="B66" s="51"/>
      <c r="C66" s="51"/>
      <c r="D66" s="51"/>
      <c r="E66" s="51"/>
      <c r="F66" s="51"/>
      <c r="G66" s="51"/>
      <c r="H66" s="51"/>
      <c r="I66" s="51"/>
      <c r="J66" s="51"/>
    </row>
    <row r="67" spans="1:10" x14ac:dyDescent="0.3">
      <c r="H67" s="38"/>
      <c r="I67" s="38"/>
      <c r="J67" s="38"/>
    </row>
    <row r="68" spans="1:10" x14ac:dyDescent="0.3">
      <c r="H68" s="38"/>
      <c r="I68" s="38"/>
      <c r="J68" s="38"/>
    </row>
    <row r="69" spans="1:10" x14ac:dyDescent="0.3">
      <c r="H69" s="38"/>
      <c r="I69" s="38"/>
      <c r="J69" s="38"/>
    </row>
    <row r="70" spans="1:10" x14ac:dyDescent="0.3">
      <c r="H70" s="38"/>
      <c r="I70" s="38"/>
      <c r="J70" s="38"/>
    </row>
  </sheetData>
  <mergeCells count="9">
    <mergeCell ref="A64:J64"/>
    <mergeCell ref="A65:J65"/>
    <mergeCell ref="A1:J1"/>
    <mergeCell ref="A2:A3"/>
    <mergeCell ref="B2:D2"/>
    <mergeCell ref="E2:G2"/>
    <mergeCell ref="H2:J2"/>
    <mergeCell ref="H62:J62"/>
    <mergeCell ref="H63:J63"/>
  </mergeCells>
  <conditionalFormatting sqref="B4:J59">
    <cfRule type="cellIs" dxfId="4" priority="1" operator="equal">
      <formula>0</formula>
    </cfRule>
  </conditionalFormatting>
  <printOptions horizontalCentered="1" verticalCentered="1"/>
  <pageMargins left="0.70866141732283472" right="0.70866141732283472" top="0.74803149606299213" bottom="0.74803149606299213" header="0.31496062992125984" footer="0.31496062992125984"/>
  <pageSetup paperSize="9" scale="52" orientation="portrait" verticalDpi="597" r:id="rId1"/>
  <ignoredErrors>
    <ignoredError sqref="G5" 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J66"/>
  <sheetViews>
    <sheetView topLeftCell="A46" zoomScale="80" zoomScaleNormal="80" workbookViewId="0">
      <selection activeCell="A66" sqref="A66:J66"/>
    </sheetView>
  </sheetViews>
  <sheetFormatPr defaultRowHeight="14.4" x14ac:dyDescent="0.3"/>
  <cols>
    <col min="1" max="1" width="41.109375" bestFit="1" customWidth="1"/>
    <col min="2" max="10" width="14.33203125" customWidth="1"/>
  </cols>
  <sheetData>
    <row r="1" spans="1:10" ht="25.5" customHeight="1" x14ac:dyDescent="0.3">
      <c r="A1" s="53" t="s">
        <v>56</v>
      </c>
      <c r="B1" s="54"/>
      <c r="C1" s="54"/>
      <c r="D1" s="54"/>
      <c r="E1" s="54"/>
      <c r="F1" s="54"/>
      <c r="G1" s="54"/>
      <c r="H1" s="54"/>
      <c r="I1" s="54"/>
      <c r="J1" s="55"/>
    </row>
    <row r="2" spans="1:10" ht="35.25" customHeight="1" x14ac:dyDescent="0.3">
      <c r="A2" s="73" t="s">
        <v>1</v>
      </c>
      <c r="B2" s="58" t="s">
        <v>65</v>
      </c>
      <c r="C2" s="58"/>
      <c r="D2" s="58"/>
      <c r="E2" s="58" t="s">
        <v>66</v>
      </c>
      <c r="F2" s="58"/>
      <c r="G2" s="58"/>
      <c r="H2" s="59"/>
      <c r="I2" s="59"/>
      <c r="J2" s="60"/>
    </row>
    <row r="3" spans="1:10" x14ac:dyDescent="0.3">
      <c r="A3" s="74"/>
      <c r="B3" s="1" t="s">
        <v>2</v>
      </c>
      <c r="C3" s="1" t="s">
        <v>3</v>
      </c>
      <c r="D3" s="1" t="s">
        <v>4</v>
      </c>
      <c r="E3" s="1" t="s">
        <v>2</v>
      </c>
      <c r="F3" s="1" t="s">
        <v>3</v>
      </c>
      <c r="G3" s="1" t="s">
        <v>4</v>
      </c>
      <c r="H3" s="1"/>
      <c r="I3" s="1"/>
      <c r="J3" s="2"/>
    </row>
    <row r="4" spans="1:10" x14ac:dyDescent="0.3">
      <c r="A4" s="10" t="s">
        <v>5</v>
      </c>
      <c r="B4" s="3">
        <v>19216523</v>
      </c>
      <c r="C4" s="3">
        <v>49130261</v>
      </c>
      <c r="D4" s="3">
        <f>SUM(B4:C4)</f>
        <v>68346784</v>
      </c>
      <c r="E4" s="3">
        <v>4236203</v>
      </c>
      <c r="F4" s="3">
        <v>11876601</v>
      </c>
      <c r="G4" s="3">
        <f>SUM(E4:F4)</f>
        <v>16112804</v>
      </c>
      <c r="H4" s="4"/>
      <c r="I4" s="4"/>
      <c r="J4" s="5"/>
    </row>
    <row r="5" spans="1:10" x14ac:dyDescent="0.3">
      <c r="A5" s="6" t="s">
        <v>62</v>
      </c>
      <c r="B5" s="7">
        <v>65006</v>
      </c>
      <c r="C5" s="7">
        <v>30199</v>
      </c>
      <c r="D5" s="7">
        <f>+B5+C5</f>
        <v>95205</v>
      </c>
      <c r="E5" s="7">
        <v>12574641</v>
      </c>
      <c r="F5" s="7">
        <v>39434579</v>
      </c>
      <c r="G5" s="7">
        <f>+E5+F5</f>
        <v>52009220</v>
      </c>
      <c r="H5" s="8"/>
      <c r="I5" s="8"/>
      <c r="J5" s="9"/>
    </row>
    <row r="6" spans="1:10" x14ac:dyDescent="0.3">
      <c r="A6" s="10" t="s">
        <v>50</v>
      </c>
      <c r="B6" s="3">
        <v>22514048</v>
      </c>
      <c r="C6" s="3">
        <v>11619569</v>
      </c>
      <c r="D6" s="3">
        <f t="shared" ref="D6:D59" si="0">SUM(B6:C6)</f>
        <v>34133617</v>
      </c>
      <c r="E6" s="3">
        <v>21505088</v>
      </c>
      <c r="F6" s="3">
        <v>14055522</v>
      </c>
      <c r="G6" s="3">
        <f t="shared" ref="G6:G59" si="1">SUM(E6:F6)</f>
        <v>35560610</v>
      </c>
      <c r="H6" s="4"/>
      <c r="I6" s="4"/>
      <c r="J6" s="5"/>
    </row>
    <row r="7" spans="1:10" x14ac:dyDescent="0.3">
      <c r="A7" s="6" t="s">
        <v>6</v>
      </c>
      <c r="B7" s="7">
        <v>14498102</v>
      </c>
      <c r="C7" s="7">
        <v>2241901</v>
      </c>
      <c r="D7" s="7">
        <f t="shared" si="0"/>
        <v>16740003</v>
      </c>
      <c r="E7" s="7">
        <v>11463200</v>
      </c>
      <c r="F7" s="7">
        <v>2277395</v>
      </c>
      <c r="G7" s="7">
        <f t="shared" si="1"/>
        <v>13740595</v>
      </c>
      <c r="H7" s="8"/>
      <c r="I7" s="8"/>
      <c r="J7" s="9"/>
    </row>
    <row r="8" spans="1:10" x14ac:dyDescent="0.3">
      <c r="A8" s="10" t="s">
        <v>7</v>
      </c>
      <c r="B8" s="3">
        <v>10679606</v>
      </c>
      <c r="C8" s="3">
        <v>2730772</v>
      </c>
      <c r="D8" s="3">
        <f t="shared" si="0"/>
        <v>13410378</v>
      </c>
      <c r="E8" s="3">
        <v>9031924</v>
      </c>
      <c r="F8" s="3">
        <v>3333332</v>
      </c>
      <c r="G8" s="3">
        <f t="shared" si="1"/>
        <v>12365256</v>
      </c>
      <c r="H8" s="4"/>
      <c r="I8" s="4"/>
      <c r="J8" s="5"/>
    </row>
    <row r="9" spans="1:10" x14ac:dyDescent="0.3">
      <c r="A9" s="6" t="s">
        <v>8</v>
      </c>
      <c r="B9" s="7">
        <v>7575871</v>
      </c>
      <c r="C9" s="7">
        <v>24127993</v>
      </c>
      <c r="D9" s="7">
        <f t="shared" si="0"/>
        <v>31703864</v>
      </c>
      <c r="E9" s="7">
        <v>6958930</v>
      </c>
      <c r="F9" s="7">
        <v>28720491</v>
      </c>
      <c r="G9" s="7">
        <f t="shared" si="1"/>
        <v>35679421</v>
      </c>
      <c r="H9" s="8"/>
      <c r="I9" s="8"/>
      <c r="J9" s="9"/>
    </row>
    <row r="10" spans="1:10" x14ac:dyDescent="0.3">
      <c r="A10" s="10" t="s">
        <v>51</v>
      </c>
      <c r="B10" s="3">
        <v>575218</v>
      </c>
      <c r="C10" s="3">
        <v>626677</v>
      </c>
      <c r="D10" s="3">
        <f t="shared" si="0"/>
        <v>1201895</v>
      </c>
      <c r="E10" s="3">
        <v>493485</v>
      </c>
      <c r="F10" s="3">
        <v>591416</v>
      </c>
      <c r="G10" s="3">
        <f t="shared" si="1"/>
        <v>1084901</v>
      </c>
      <c r="H10" s="4"/>
      <c r="I10" s="4"/>
      <c r="J10" s="5"/>
    </row>
    <row r="11" spans="1:10" x14ac:dyDescent="0.3">
      <c r="A11" s="6" t="s">
        <v>9</v>
      </c>
      <c r="B11" s="7">
        <v>1615590</v>
      </c>
      <c r="C11" s="7">
        <v>2935900</v>
      </c>
      <c r="D11" s="7">
        <f t="shared" si="0"/>
        <v>4551490</v>
      </c>
      <c r="E11" s="7">
        <v>1583089</v>
      </c>
      <c r="F11" s="7">
        <v>3321930</v>
      </c>
      <c r="G11" s="7">
        <f t="shared" si="1"/>
        <v>4905019</v>
      </c>
      <c r="H11" s="8"/>
      <c r="I11" s="8"/>
      <c r="J11" s="9"/>
    </row>
    <row r="12" spans="1:10" x14ac:dyDescent="0.3">
      <c r="A12" s="10" t="s">
        <v>10</v>
      </c>
      <c r="B12" s="3">
        <v>2670185</v>
      </c>
      <c r="C12" s="3">
        <v>1505927</v>
      </c>
      <c r="D12" s="3">
        <f t="shared" si="0"/>
        <v>4176112</v>
      </c>
      <c r="E12" s="3">
        <v>2464398</v>
      </c>
      <c r="F12" s="3">
        <v>1873335</v>
      </c>
      <c r="G12" s="3">
        <f t="shared" si="1"/>
        <v>4337733</v>
      </c>
      <c r="H12" s="4"/>
      <c r="I12" s="4"/>
      <c r="J12" s="5"/>
    </row>
    <row r="13" spans="1:10" x14ac:dyDescent="0.3">
      <c r="A13" s="6" t="s">
        <v>11</v>
      </c>
      <c r="B13" s="7">
        <v>4929255</v>
      </c>
      <c r="C13" s="7">
        <v>701419</v>
      </c>
      <c r="D13" s="7">
        <f t="shared" si="0"/>
        <v>5630674</v>
      </c>
      <c r="E13" s="7">
        <v>4306031</v>
      </c>
      <c r="F13" s="7">
        <v>751757</v>
      </c>
      <c r="G13" s="7">
        <f t="shared" si="1"/>
        <v>5057788</v>
      </c>
      <c r="H13" s="8"/>
      <c r="I13" s="8"/>
      <c r="J13" s="9"/>
    </row>
    <row r="14" spans="1:10" x14ac:dyDescent="0.3">
      <c r="A14" s="10" t="s">
        <v>12</v>
      </c>
      <c r="B14" s="3">
        <v>3754162</v>
      </c>
      <c r="C14" s="3">
        <v>274401</v>
      </c>
      <c r="D14" s="3">
        <f t="shared" si="0"/>
        <v>4028563</v>
      </c>
      <c r="E14" s="3">
        <v>3373461</v>
      </c>
      <c r="F14" s="3">
        <v>397417</v>
      </c>
      <c r="G14" s="3">
        <f t="shared" si="1"/>
        <v>3770878</v>
      </c>
      <c r="H14" s="4"/>
      <c r="I14" s="4"/>
      <c r="J14" s="5"/>
    </row>
    <row r="15" spans="1:10" x14ac:dyDescent="0.3">
      <c r="A15" s="6" t="s">
        <v>13</v>
      </c>
      <c r="B15" s="7">
        <v>1324804</v>
      </c>
      <c r="C15" s="7">
        <v>9992</v>
      </c>
      <c r="D15" s="7">
        <f t="shared" si="0"/>
        <v>1334796</v>
      </c>
      <c r="E15" s="7">
        <v>984037</v>
      </c>
      <c r="F15" s="7">
        <v>6650</v>
      </c>
      <c r="G15" s="7">
        <f t="shared" si="1"/>
        <v>990687</v>
      </c>
      <c r="H15" s="8"/>
      <c r="I15" s="8"/>
      <c r="J15" s="9"/>
    </row>
    <row r="16" spans="1:10" x14ac:dyDescent="0.3">
      <c r="A16" s="10" t="s">
        <v>14</v>
      </c>
      <c r="B16" s="3">
        <v>2340849</v>
      </c>
      <c r="C16" s="3">
        <v>296178</v>
      </c>
      <c r="D16" s="3">
        <f t="shared" si="0"/>
        <v>2637027</v>
      </c>
      <c r="E16" s="3">
        <v>2152284</v>
      </c>
      <c r="F16" s="3">
        <v>372092</v>
      </c>
      <c r="G16" s="3">
        <f t="shared" si="1"/>
        <v>2524376</v>
      </c>
      <c r="H16" s="4"/>
      <c r="I16" s="4"/>
      <c r="J16" s="5"/>
    </row>
    <row r="17" spans="1:10" x14ac:dyDescent="0.3">
      <c r="A17" s="6" t="s">
        <v>15</v>
      </c>
      <c r="B17" s="7">
        <v>277986</v>
      </c>
      <c r="C17" s="7">
        <v>3050</v>
      </c>
      <c r="D17" s="7">
        <f t="shared" si="0"/>
        <v>281036</v>
      </c>
      <c r="E17" s="7">
        <v>243207</v>
      </c>
      <c r="F17" s="7">
        <v>1369</v>
      </c>
      <c r="G17" s="7">
        <f t="shared" si="1"/>
        <v>244576</v>
      </c>
      <c r="H17" s="8"/>
      <c r="I17" s="8"/>
      <c r="J17" s="9"/>
    </row>
    <row r="18" spans="1:10" x14ac:dyDescent="0.3">
      <c r="A18" s="10" t="s">
        <v>16</v>
      </c>
      <c r="B18" s="3">
        <v>325813</v>
      </c>
      <c r="C18" s="3">
        <v>907</v>
      </c>
      <c r="D18" s="3">
        <f t="shared" si="0"/>
        <v>326720</v>
      </c>
      <c r="E18" s="3">
        <v>321758</v>
      </c>
      <c r="F18" s="3">
        <v>0</v>
      </c>
      <c r="G18" s="3">
        <f t="shared" si="1"/>
        <v>321758</v>
      </c>
      <c r="H18" s="4"/>
      <c r="I18" s="4"/>
      <c r="J18" s="5"/>
    </row>
    <row r="19" spans="1:10" x14ac:dyDescent="0.3">
      <c r="A19" s="6" t="s">
        <v>17</v>
      </c>
      <c r="B19" s="7">
        <v>171379</v>
      </c>
      <c r="C19" s="7">
        <v>9092</v>
      </c>
      <c r="D19" s="7">
        <f t="shared" si="0"/>
        <v>180471</v>
      </c>
      <c r="E19" s="7">
        <v>160842</v>
      </c>
      <c r="F19" s="7">
        <v>6916</v>
      </c>
      <c r="G19" s="7">
        <f t="shared" si="1"/>
        <v>167758</v>
      </c>
      <c r="H19" s="8"/>
      <c r="I19" s="8"/>
      <c r="J19" s="9"/>
    </row>
    <row r="20" spans="1:10" x14ac:dyDescent="0.3">
      <c r="A20" s="10" t="s">
        <v>52</v>
      </c>
      <c r="B20" s="3">
        <v>0</v>
      </c>
      <c r="C20" s="3">
        <v>0</v>
      </c>
      <c r="D20" s="3"/>
      <c r="E20" s="3"/>
      <c r="F20" s="3"/>
      <c r="G20" s="3"/>
      <c r="H20" s="4"/>
      <c r="I20" s="4"/>
      <c r="J20" s="5"/>
    </row>
    <row r="21" spans="1:10" x14ac:dyDescent="0.3">
      <c r="A21" s="6" t="s">
        <v>18</v>
      </c>
      <c r="B21" s="7">
        <v>503558</v>
      </c>
      <c r="C21" s="7">
        <v>10452</v>
      </c>
      <c r="D21" s="7">
        <f t="shared" si="0"/>
        <v>514010</v>
      </c>
      <c r="E21" s="7">
        <v>349883</v>
      </c>
      <c r="F21" s="7">
        <v>4498</v>
      </c>
      <c r="G21" s="7">
        <f t="shared" si="1"/>
        <v>354381</v>
      </c>
      <c r="H21" s="8"/>
      <c r="I21" s="8"/>
      <c r="J21" s="9"/>
    </row>
    <row r="22" spans="1:10" x14ac:dyDescent="0.3">
      <c r="A22" s="10" t="s">
        <v>19</v>
      </c>
      <c r="B22" s="3">
        <v>0</v>
      </c>
      <c r="C22" s="3">
        <v>0</v>
      </c>
      <c r="D22" s="3"/>
      <c r="E22" s="3"/>
      <c r="F22" s="3"/>
      <c r="G22" s="3"/>
      <c r="H22" s="4"/>
      <c r="I22" s="4"/>
      <c r="J22" s="5"/>
    </row>
    <row r="23" spans="1:10" x14ac:dyDescent="0.3">
      <c r="A23" s="6" t="s">
        <v>20</v>
      </c>
      <c r="B23" s="7">
        <v>662285</v>
      </c>
      <c r="C23" s="7">
        <v>3021</v>
      </c>
      <c r="D23" s="7">
        <f t="shared" si="0"/>
        <v>665306</v>
      </c>
      <c r="E23" s="7">
        <v>522761</v>
      </c>
      <c r="F23" s="7">
        <v>1249</v>
      </c>
      <c r="G23" s="7">
        <f t="shared" si="1"/>
        <v>524010</v>
      </c>
      <c r="H23" s="8"/>
      <c r="I23" s="8"/>
      <c r="J23" s="9"/>
    </row>
    <row r="24" spans="1:10" x14ac:dyDescent="0.3">
      <c r="A24" s="10" t="s">
        <v>21</v>
      </c>
      <c r="B24" s="3">
        <v>224708</v>
      </c>
      <c r="C24" s="3">
        <v>769</v>
      </c>
      <c r="D24" s="3">
        <f t="shared" si="0"/>
        <v>225477</v>
      </c>
      <c r="E24" s="3">
        <v>202753</v>
      </c>
      <c r="F24" s="3">
        <v>560</v>
      </c>
      <c r="G24" s="3">
        <f t="shared" si="1"/>
        <v>203313</v>
      </c>
      <c r="H24" s="4"/>
      <c r="I24" s="4"/>
      <c r="J24" s="5"/>
    </row>
    <row r="25" spans="1:10" x14ac:dyDescent="0.3">
      <c r="A25" s="6" t="s">
        <v>22</v>
      </c>
      <c r="B25" s="7">
        <v>224023</v>
      </c>
      <c r="C25" s="7">
        <v>18548</v>
      </c>
      <c r="D25" s="7">
        <f t="shared" si="0"/>
        <v>242571</v>
      </c>
      <c r="E25" s="7">
        <v>252269</v>
      </c>
      <c r="F25" s="7">
        <v>16722</v>
      </c>
      <c r="G25" s="7">
        <f t="shared" si="1"/>
        <v>268991</v>
      </c>
      <c r="H25" s="8"/>
      <c r="I25" s="8"/>
      <c r="J25" s="9"/>
    </row>
    <row r="26" spans="1:10" x14ac:dyDescent="0.3">
      <c r="A26" s="10" t="s">
        <v>23</v>
      </c>
      <c r="B26" s="3">
        <v>218578</v>
      </c>
      <c r="C26" s="3">
        <v>10829</v>
      </c>
      <c r="D26" s="3">
        <f t="shared" si="0"/>
        <v>229407</v>
      </c>
      <c r="E26" s="3">
        <v>127080</v>
      </c>
      <c r="F26" s="3">
        <v>4160</v>
      </c>
      <c r="G26" s="3">
        <f t="shared" si="1"/>
        <v>131240</v>
      </c>
      <c r="H26" s="4"/>
      <c r="I26" s="4"/>
      <c r="J26" s="5"/>
    </row>
    <row r="27" spans="1:10" x14ac:dyDescent="0.3">
      <c r="A27" s="6" t="s">
        <v>24</v>
      </c>
      <c r="B27" s="7">
        <v>0</v>
      </c>
      <c r="C27" s="7">
        <v>0</v>
      </c>
      <c r="D27" s="7"/>
      <c r="E27" s="7"/>
      <c r="F27" s="7"/>
      <c r="G27" s="7"/>
      <c r="H27" s="8"/>
      <c r="I27" s="8"/>
      <c r="J27" s="9"/>
    </row>
    <row r="28" spans="1:10" x14ac:dyDescent="0.3">
      <c r="A28" s="10" t="s">
        <v>25</v>
      </c>
      <c r="B28" s="3">
        <v>567971</v>
      </c>
      <c r="C28" s="3">
        <v>88639</v>
      </c>
      <c r="D28" s="3">
        <f t="shared" si="0"/>
        <v>656610</v>
      </c>
      <c r="E28" s="3">
        <v>529091</v>
      </c>
      <c r="F28" s="3">
        <v>120691</v>
      </c>
      <c r="G28" s="3">
        <f t="shared" si="1"/>
        <v>649782</v>
      </c>
      <c r="H28" s="4"/>
      <c r="I28" s="4"/>
      <c r="J28" s="5"/>
    </row>
    <row r="29" spans="1:10" x14ac:dyDescent="0.3">
      <c r="A29" s="6" t="s">
        <v>26</v>
      </c>
      <c r="B29" s="7">
        <v>2016126</v>
      </c>
      <c r="C29" s="7">
        <v>53180</v>
      </c>
      <c r="D29" s="7">
        <f t="shared" si="0"/>
        <v>2069306</v>
      </c>
      <c r="E29" s="7">
        <v>1706191</v>
      </c>
      <c r="F29" s="7">
        <v>76045</v>
      </c>
      <c r="G29" s="7">
        <f t="shared" si="1"/>
        <v>1782236</v>
      </c>
      <c r="H29" s="8"/>
      <c r="I29" s="8"/>
      <c r="J29" s="9"/>
    </row>
    <row r="30" spans="1:10" x14ac:dyDescent="0.3">
      <c r="A30" s="10" t="s">
        <v>27</v>
      </c>
      <c r="B30" s="3">
        <v>1002767</v>
      </c>
      <c r="C30" s="3">
        <v>36411</v>
      </c>
      <c r="D30" s="3">
        <f t="shared" si="0"/>
        <v>1039178</v>
      </c>
      <c r="E30" s="3">
        <v>861357</v>
      </c>
      <c r="F30" s="3">
        <v>41145</v>
      </c>
      <c r="G30" s="3">
        <f t="shared" si="1"/>
        <v>902502</v>
      </c>
      <c r="H30" s="4"/>
      <c r="I30" s="4"/>
      <c r="J30" s="5"/>
    </row>
    <row r="31" spans="1:10" x14ac:dyDescent="0.3">
      <c r="A31" s="6" t="s">
        <v>28</v>
      </c>
      <c r="B31" s="7">
        <v>500222</v>
      </c>
      <c r="C31" s="7">
        <v>405</v>
      </c>
      <c r="D31" s="7">
        <f t="shared" si="0"/>
        <v>500627</v>
      </c>
      <c r="E31" s="7">
        <v>417497</v>
      </c>
      <c r="F31" s="7">
        <v>958</v>
      </c>
      <c r="G31" s="7">
        <f t="shared" si="1"/>
        <v>418455</v>
      </c>
      <c r="H31" s="8"/>
      <c r="I31" s="8"/>
      <c r="J31" s="9"/>
    </row>
    <row r="32" spans="1:10" x14ac:dyDescent="0.3">
      <c r="A32" s="10" t="s">
        <v>53</v>
      </c>
      <c r="B32" s="3">
        <v>787</v>
      </c>
      <c r="C32" s="3">
        <v>98544</v>
      </c>
      <c r="D32" s="3">
        <f t="shared" si="0"/>
        <v>99331</v>
      </c>
      <c r="E32" s="3">
        <v>657</v>
      </c>
      <c r="F32" s="3">
        <v>88365</v>
      </c>
      <c r="G32" s="3">
        <f t="shared" si="1"/>
        <v>89022</v>
      </c>
      <c r="H32" s="4"/>
      <c r="I32" s="4"/>
      <c r="J32" s="5"/>
    </row>
    <row r="33" spans="1:10" x14ac:dyDescent="0.3">
      <c r="A33" s="6" t="s">
        <v>61</v>
      </c>
      <c r="B33" s="7">
        <v>190666</v>
      </c>
      <c r="C33" s="7">
        <v>0</v>
      </c>
      <c r="D33" s="7">
        <f t="shared" si="0"/>
        <v>190666</v>
      </c>
      <c r="E33" s="7">
        <v>180506</v>
      </c>
      <c r="F33" s="7">
        <v>0</v>
      </c>
      <c r="G33" s="7">
        <f t="shared" si="1"/>
        <v>180506</v>
      </c>
      <c r="H33" s="8"/>
      <c r="I33" s="8"/>
      <c r="J33" s="9"/>
    </row>
    <row r="34" spans="1:10" x14ac:dyDescent="0.3">
      <c r="A34" s="10" t="s">
        <v>29</v>
      </c>
      <c r="B34" s="3">
        <v>1066555</v>
      </c>
      <c r="C34" s="3">
        <v>258454</v>
      </c>
      <c r="D34" s="3">
        <f t="shared" si="0"/>
        <v>1325009</v>
      </c>
      <c r="E34" s="3">
        <v>958106</v>
      </c>
      <c r="F34" s="3">
        <v>255764</v>
      </c>
      <c r="G34" s="3">
        <f t="shared" si="1"/>
        <v>1213870</v>
      </c>
      <c r="H34" s="4"/>
      <c r="I34" s="4"/>
      <c r="J34" s="5"/>
    </row>
    <row r="35" spans="1:10" x14ac:dyDescent="0.3">
      <c r="A35" s="6" t="s">
        <v>60</v>
      </c>
      <c r="B35" s="7">
        <v>289251</v>
      </c>
      <c r="C35" s="7">
        <v>0</v>
      </c>
      <c r="D35" s="7">
        <f t="shared" si="0"/>
        <v>289251</v>
      </c>
      <c r="E35" s="7">
        <v>260174</v>
      </c>
      <c r="F35" s="7">
        <v>1081</v>
      </c>
      <c r="G35" s="7">
        <f t="shared" si="1"/>
        <v>261255</v>
      </c>
      <c r="H35" s="8"/>
      <c r="I35" s="8"/>
      <c r="J35" s="9"/>
    </row>
    <row r="36" spans="1:10" x14ac:dyDescent="0.3">
      <c r="A36" s="10" t="s">
        <v>30</v>
      </c>
      <c r="B36" s="3">
        <v>87971</v>
      </c>
      <c r="C36" s="3">
        <v>85010</v>
      </c>
      <c r="D36" s="3">
        <f t="shared" si="0"/>
        <v>172981</v>
      </c>
      <c r="E36" s="3">
        <v>79866</v>
      </c>
      <c r="F36" s="3">
        <v>69771</v>
      </c>
      <c r="G36" s="3">
        <f t="shared" si="1"/>
        <v>149637</v>
      </c>
      <c r="H36" s="4"/>
      <c r="I36" s="4"/>
      <c r="J36" s="5"/>
    </row>
    <row r="37" spans="1:10" x14ac:dyDescent="0.3">
      <c r="A37" s="6" t="s">
        <v>31</v>
      </c>
      <c r="B37" s="7">
        <v>332614</v>
      </c>
      <c r="C37" s="7">
        <v>1396</v>
      </c>
      <c r="D37" s="7">
        <f t="shared" si="0"/>
        <v>334010</v>
      </c>
      <c r="E37" s="7">
        <v>266136</v>
      </c>
      <c r="F37" s="7">
        <v>344</v>
      </c>
      <c r="G37" s="7">
        <f t="shared" si="1"/>
        <v>266480</v>
      </c>
      <c r="H37" s="8"/>
      <c r="I37" s="8"/>
      <c r="J37" s="9"/>
    </row>
    <row r="38" spans="1:10" x14ac:dyDescent="0.3">
      <c r="A38" s="10" t="s">
        <v>32</v>
      </c>
      <c r="B38" s="3">
        <v>577562</v>
      </c>
      <c r="C38" s="3">
        <v>0</v>
      </c>
      <c r="D38" s="3">
        <f t="shared" si="0"/>
        <v>577562</v>
      </c>
      <c r="E38" s="3">
        <v>524462</v>
      </c>
      <c r="F38" s="3">
        <v>194</v>
      </c>
      <c r="G38" s="3">
        <f t="shared" si="1"/>
        <v>524656</v>
      </c>
      <c r="H38" s="4"/>
      <c r="I38" s="4"/>
      <c r="J38" s="5"/>
    </row>
    <row r="39" spans="1:10" x14ac:dyDescent="0.3">
      <c r="A39" s="6" t="s">
        <v>33</v>
      </c>
      <c r="B39" s="7">
        <v>89449</v>
      </c>
      <c r="C39" s="7">
        <v>2143</v>
      </c>
      <c r="D39" s="7">
        <f t="shared" si="0"/>
        <v>91592</v>
      </c>
      <c r="E39" s="7">
        <v>60835</v>
      </c>
      <c r="F39" s="7">
        <v>2260</v>
      </c>
      <c r="G39" s="7">
        <f t="shared" si="1"/>
        <v>63095</v>
      </c>
      <c r="H39" s="8"/>
      <c r="I39" s="8"/>
      <c r="J39" s="9"/>
    </row>
    <row r="40" spans="1:10" x14ac:dyDescent="0.3">
      <c r="A40" s="10" t="s">
        <v>34</v>
      </c>
      <c r="B40" s="3">
        <v>1863373</v>
      </c>
      <c r="C40" s="3">
        <v>320474</v>
      </c>
      <c r="D40" s="3">
        <f t="shared" si="0"/>
        <v>2183847</v>
      </c>
      <c r="E40" s="3">
        <v>1980252</v>
      </c>
      <c r="F40" s="3">
        <v>345611</v>
      </c>
      <c r="G40" s="3">
        <f t="shared" si="1"/>
        <v>2325863</v>
      </c>
      <c r="H40" s="4"/>
      <c r="I40" s="4"/>
      <c r="J40" s="5"/>
    </row>
    <row r="41" spans="1:10" x14ac:dyDescent="0.3">
      <c r="A41" s="6" t="s">
        <v>35</v>
      </c>
      <c r="B41" s="7">
        <v>49656</v>
      </c>
      <c r="C41" s="7">
        <v>4454</v>
      </c>
      <c r="D41" s="7">
        <f t="shared" si="0"/>
        <v>54110</v>
      </c>
      <c r="E41" s="7">
        <v>52107</v>
      </c>
      <c r="F41" s="7">
        <v>5173</v>
      </c>
      <c r="G41" s="7">
        <f t="shared" si="1"/>
        <v>57280</v>
      </c>
      <c r="H41" s="8"/>
      <c r="I41" s="8"/>
      <c r="J41" s="9"/>
    </row>
    <row r="42" spans="1:10" x14ac:dyDescent="0.3">
      <c r="A42" s="10" t="s">
        <v>36</v>
      </c>
      <c r="B42" s="3">
        <v>1044470</v>
      </c>
      <c r="C42" s="3">
        <v>116415</v>
      </c>
      <c r="D42" s="3">
        <f t="shared" si="0"/>
        <v>1160885</v>
      </c>
      <c r="E42" s="3">
        <v>884188</v>
      </c>
      <c r="F42" s="3">
        <v>124615</v>
      </c>
      <c r="G42" s="3">
        <f t="shared" si="1"/>
        <v>1008803</v>
      </c>
      <c r="H42" s="4"/>
      <c r="I42" s="39"/>
      <c r="J42" s="5"/>
    </row>
    <row r="43" spans="1:10" x14ac:dyDescent="0.3">
      <c r="A43" s="6" t="s">
        <v>37</v>
      </c>
      <c r="B43" s="7">
        <v>860036</v>
      </c>
      <c r="C43" s="7">
        <v>11479</v>
      </c>
      <c r="D43" s="7">
        <f t="shared" si="0"/>
        <v>871515</v>
      </c>
      <c r="E43" s="7">
        <v>733026</v>
      </c>
      <c r="F43" s="7">
        <v>10144</v>
      </c>
      <c r="G43" s="7">
        <f t="shared" si="1"/>
        <v>743170</v>
      </c>
      <c r="H43" s="8"/>
      <c r="I43" s="8"/>
      <c r="J43" s="9"/>
    </row>
    <row r="44" spans="1:10" x14ac:dyDescent="0.3">
      <c r="A44" s="10" t="s">
        <v>38</v>
      </c>
      <c r="B44" s="3">
        <v>709404</v>
      </c>
      <c r="C44" s="3">
        <v>3371</v>
      </c>
      <c r="D44" s="3">
        <f t="shared" si="0"/>
        <v>712775</v>
      </c>
      <c r="E44" s="3">
        <v>565856</v>
      </c>
      <c r="F44" s="3">
        <v>2388</v>
      </c>
      <c r="G44" s="3">
        <f t="shared" si="1"/>
        <v>568244</v>
      </c>
      <c r="H44" s="4"/>
      <c r="I44" s="4"/>
      <c r="J44" s="5"/>
    </row>
    <row r="45" spans="1:10" x14ac:dyDescent="0.3">
      <c r="A45" s="6" t="s">
        <v>63</v>
      </c>
      <c r="B45" s="7">
        <v>457504</v>
      </c>
      <c r="C45" s="7">
        <v>2359</v>
      </c>
      <c r="D45" s="7">
        <f t="shared" si="0"/>
        <v>459863</v>
      </c>
      <c r="E45" s="7">
        <v>384011</v>
      </c>
      <c r="F45" s="7">
        <v>1575</v>
      </c>
      <c r="G45" s="7">
        <f t="shared" si="1"/>
        <v>385586</v>
      </c>
      <c r="H45" s="8"/>
      <c r="I45" s="8"/>
      <c r="J45" s="9"/>
    </row>
    <row r="46" spans="1:10" x14ac:dyDescent="0.3">
      <c r="A46" s="10" t="s">
        <v>39</v>
      </c>
      <c r="B46" s="3">
        <v>378085</v>
      </c>
      <c r="C46" s="3">
        <v>2625</v>
      </c>
      <c r="D46" s="3">
        <f t="shared" si="0"/>
        <v>380710</v>
      </c>
      <c r="E46" s="3">
        <v>490125</v>
      </c>
      <c r="F46" s="3">
        <v>3960</v>
      </c>
      <c r="G46" s="3">
        <f t="shared" si="1"/>
        <v>494085</v>
      </c>
      <c r="H46" s="4"/>
      <c r="I46" s="4"/>
      <c r="J46" s="5"/>
    </row>
    <row r="47" spans="1:10" x14ac:dyDescent="0.3">
      <c r="A47" s="6" t="s">
        <v>40</v>
      </c>
      <c r="B47" s="7">
        <v>1074918</v>
      </c>
      <c r="C47" s="7">
        <v>19632</v>
      </c>
      <c r="D47" s="7">
        <f t="shared" si="0"/>
        <v>1094550</v>
      </c>
      <c r="E47" s="7">
        <v>1034750</v>
      </c>
      <c r="F47" s="7">
        <v>25515</v>
      </c>
      <c r="G47" s="7">
        <f t="shared" si="1"/>
        <v>1060265</v>
      </c>
      <c r="H47" s="8"/>
      <c r="I47" s="8"/>
      <c r="J47" s="9"/>
    </row>
    <row r="48" spans="1:10" x14ac:dyDescent="0.3">
      <c r="A48" s="10" t="s">
        <v>41</v>
      </c>
      <c r="B48" s="3">
        <v>1627368</v>
      </c>
      <c r="C48" s="3">
        <v>108154</v>
      </c>
      <c r="D48" s="3">
        <f t="shared" si="0"/>
        <v>1735522</v>
      </c>
      <c r="E48" s="3">
        <v>1347965</v>
      </c>
      <c r="F48" s="3">
        <v>141368</v>
      </c>
      <c r="G48" s="3">
        <f t="shared" si="1"/>
        <v>1489333</v>
      </c>
      <c r="H48" s="4"/>
      <c r="I48" s="4"/>
      <c r="J48" s="5"/>
    </row>
    <row r="49" spans="1:10" x14ac:dyDescent="0.3">
      <c r="A49" s="6" t="s">
        <v>42</v>
      </c>
      <c r="B49" s="7">
        <v>0</v>
      </c>
      <c r="C49" s="7">
        <v>0</v>
      </c>
      <c r="D49" s="7">
        <f t="shared" si="0"/>
        <v>0</v>
      </c>
      <c r="E49" s="7">
        <v>34718</v>
      </c>
      <c r="F49" s="7">
        <v>0</v>
      </c>
      <c r="G49" s="7">
        <f t="shared" si="1"/>
        <v>34718</v>
      </c>
      <c r="H49" s="8"/>
      <c r="I49" s="8"/>
      <c r="J49" s="9"/>
    </row>
    <row r="50" spans="1:10" x14ac:dyDescent="0.3">
      <c r="A50" s="10" t="s">
        <v>43</v>
      </c>
      <c r="B50" s="3">
        <v>178653</v>
      </c>
      <c r="C50" s="3">
        <v>530</v>
      </c>
      <c r="D50" s="3">
        <f t="shared" si="0"/>
        <v>179183</v>
      </c>
      <c r="E50" s="3">
        <v>136862</v>
      </c>
      <c r="F50" s="3">
        <v>319</v>
      </c>
      <c r="G50" s="3">
        <f t="shared" si="1"/>
        <v>137181</v>
      </c>
      <c r="H50" s="4"/>
      <c r="I50" s="4"/>
      <c r="J50" s="5"/>
    </row>
    <row r="51" spans="1:10" x14ac:dyDescent="0.3">
      <c r="A51" s="6" t="s">
        <v>44</v>
      </c>
      <c r="B51" s="7">
        <v>574523</v>
      </c>
      <c r="C51" s="7">
        <v>6844</v>
      </c>
      <c r="D51" s="7">
        <f t="shared" si="0"/>
        <v>581367</v>
      </c>
      <c r="E51" s="7">
        <v>486840</v>
      </c>
      <c r="F51" s="7">
        <v>4468</v>
      </c>
      <c r="G51" s="7">
        <f t="shared" si="1"/>
        <v>491308</v>
      </c>
      <c r="H51" s="8"/>
      <c r="I51" s="8"/>
      <c r="J51" s="9"/>
    </row>
    <row r="52" spans="1:10" x14ac:dyDescent="0.3">
      <c r="A52" s="10" t="s">
        <v>45</v>
      </c>
      <c r="B52" s="3">
        <v>837286</v>
      </c>
      <c r="C52" s="3">
        <v>19479</v>
      </c>
      <c r="D52" s="3">
        <f t="shared" si="0"/>
        <v>856765</v>
      </c>
      <c r="E52" s="3">
        <v>715853</v>
      </c>
      <c r="F52" s="3">
        <v>14094</v>
      </c>
      <c r="G52" s="3">
        <f t="shared" si="1"/>
        <v>729947</v>
      </c>
      <c r="H52" s="4"/>
      <c r="I52" s="4"/>
      <c r="J52" s="5"/>
    </row>
    <row r="53" spans="1:10" x14ac:dyDescent="0.3">
      <c r="A53" s="6" t="s">
        <v>46</v>
      </c>
      <c r="B53" s="7">
        <v>425345</v>
      </c>
      <c r="C53" s="7">
        <v>0</v>
      </c>
      <c r="D53" s="7">
        <f t="shared" si="0"/>
        <v>425345</v>
      </c>
      <c r="E53" s="7">
        <v>365865</v>
      </c>
      <c r="F53" s="7">
        <v>0</v>
      </c>
      <c r="G53" s="7">
        <f t="shared" si="1"/>
        <v>365865</v>
      </c>
      <c r="H53" s="8"/>
      <c r="I53" s="8"/>
      <c r="J53" s="9"/>
    </row>
    <row r="54" spans="1:10" x14ac:dyDescent="0.3">
      <c r="A54" s="10" t="s">
        <v>64</v>
      </c>
      <c r="B54" s="3">
        <v>102783</v>
      </c>
      <c r="C54" s="3">
        <v>3424</v>
      </c>
      <c r="D54" s="3">
        <f t="shared" si="0"/>
        <v>106207</v>
      </c>
      <c r="E54" s="3">
        <v>71137</v>
      </c>
      <c r="F54" s="3">
        <v>1816</v>
      </c>
      <c r="G54" s="3">
        <f t="shared" si="1"/>
        <v>72953</v>
      </c>
      <c r="H54" s="4"/>
      <c r="I54" s="4"/>
      <c r="J54" s="5"/>
    </row>
    <row r="55" spans="1:10" x14ac:dyDescent="0.3">
      <c r="A55" s="6" t="s">
        <v>47</v>
      </c>
      <c r="B55" s="7">
        <v>0</v>
      </c>
      <c r="C55" s="7">
        <v>0</v>
      </c>
      <c r="D55" s="7">
        <f t="shared" si="0"/>
        <v>0</v>
      </c>
      <c r="E55" s="7"/>
      <c r="F55" s="7"/>
      <c r="G55" s="7">
        <f t="shared" si="1"/>
        <v>0</v>
      </c>
      <c r="H55" s="8"/>
      <c r="I55" s="8"/>
      <c r="J55" s="9"/>
    </row>
    <row r="56" spans="1:10" x14ac:dyDescent="0.3">
      <c r="A56" s="10" t="s">
        <v>48</v>
      </c>
      <c r="B56" s="3">
        <v>21713</v>
      </c>
      <c r="C56" s="3">
        <v>184</v>
      </c>
      <c r="D56" s="3">
        <f t="shared" si="0"/>
        <v>21897</v>
      </c>
      <c r="E56" s="3">
        <v>27475</v>
      </c>
      <c r="F56" s="3">
        <v>508</v>
      </c>
      <c r="G56" s="3">
        <f>+E56+F56</f>
        <v>27983</v>
      </c>
      <c r="H56" s="4"/>
      <c r="I56" s="4"/>
      <c r="J56" s="5"/>
    </row>
    <row r="57" spans="1:10" x14ac:dyDescent="0.3">
      <c r="A57" s="6" t="s">
        <v>49</v>
      </c>
      <c r="B57" s="7">
        <v>1544074</v>
      </c>
      <c r="C57" s="7">
        <v>3764</v>
      </c>
      <c r="D57" s="7">
        <f t="shared" si="0"/>
        <v>1547838</v>
      </c>
      <c r="E57" s="7">
        <v>1406099</v>
      </c>
      <c r="F57" s="7">
        <v>7268</v>
      </c>
      <c r="G57" s="7">
        <f t="shared" si="1"/>
        <v>1413367</v>
      </c>
      <c r="H57" s="8"/>
      <c r="I57" s="8"/>
      <c r="J57" s="9"/>
    </row>
    <row r="58" spans="1:10" x14ac:dyDescent="0.3">
      <c r="A58" s="10" t="s">
        <v>54</v>
      </c>
      <c r="B58" s="3">
        <v>72427</v>
      </c>
      <c r="C58" s="3">
        <v>26968</v>
      </c>
      <c r="D58" s="3">
        <f t="shared" si="0"/>
        <v>99395</v>
      </c>
      <c r="E58" s="3">
        <v>57741</v>
      </c>
      <c r="F58" s="3">
        <v>24285</v>
      </c>
      <c r="G58" s="3">
        <f t="shared" si="1"/>
        <v>82026</v>
      </c>
      <c r="H58" s="4"/>
      <c r="I58" s="4"/>
      <c r="J58" s="5"/>
    </row>
    <row r="59" spans="1:10" x14ac:dyDescent="0.3">
      <c r="A59" s="6" t="s">
        <v>55</v>
      </c>
      <c r="B59" s="7">
        <v>0</v>
      </c>
      <c r="C59" s="7">
        <v>24861</v>
      </c>
      <c r="D59" s="7">
        <f t="shared" si="0"/>
        <v>24861</v>
      </c>
      <c r="E59" s="7">
        <v>19500</v>
      </c>
      <c r="F59" s="7">
        <v>9408</v>
      </c>
      <c r="G59" s="7">
        <f t="shared" si="1"/>
        <v>28908</v>
      </c>
      <c r="H59" s="8"/>
      <c r="I59" s="8"/>
      <c r="J59" s="9"/>
    </row>
    <row r="60" spans="1:10" x14ac:dyDescent="0.3">
      <c r="A60" s="11"/>
      <c r="B60" s="12"/>
      <c r="C60" s="12"/>
      <c r="D60" s="12"/>
      <c r="E60" s="12"/>
      <c r="F60" s="12"/>
      <c r="G60" s="12"/>
      <c r="H60" s="13"/>
      <c r="I60" s="13"/>
      <c r="J60" s="13"/>
    </row>
    <row r="61" spans="1:10" x14ac:dyDescent="0.3">
      <c r="A61" s="14"/>
      <c r="B61" s="15"/>
      <c r="C61" s="15"/>
      <c r="D61" s="15"/>
      <c r="E61" s="15"/>
      <c r="F61" s="15"/>
      <c r="G61" s="15"/>
      <c r="H61" s="16"/>
      <c r="I61" s="16"/>
      <c r="J61" s="16"/>
    </row>
    <row r="62" spans="1:10" x14ac:dyDescent="0.3">
      <c r="A62" s="11"/>
      <c r="B62" s="12"/>
      <c r="C62" s="12"/>
      <c r="D62" s="12"/>
      <c r="E62" s="12"/>
      <c r="F62" s="12"/>
      <c r="G62" s="12"/>
      <c r="H62" s="13"/>
      <c r="I62" s="13"/>
      <c r="J62" s="13"/>
    </row>
    <row r="63" spans="1:10" x14ac:dyDescent="0.3">
      <c r="A63" s="11"/>
      <c r="B63" s="12"/>
      <c r="C63" s="12"/>
      <c r="D63" s="32"/>
      <c r="E63" s="12"/>
      <c r="F63" s="12"/>
      <c r="G63" s="12"/>
      <c r="H63" s="13"/>
      <c r="I63" s="13"/>
      <c r="J63" s="13"/>
    </row>
    <row r="64" spans="1:10" ht="15" thickBot="1" x14ac:dyDescent="0.35">
      <c r="A64" s="18"/>
      <c r="B64" s="19"/>
      <c r="C64" s="19"/>
      <c r="D64" s="19"/>
      <c r="E64" s="19"/>
      <c r="F64" s="19"/>
      <c r="G64" s="19"/>
      <c r="H64" s="67"/>
      <c r="I64" s="67"/>
      <c r="J64" s="68"/>
    </row>
    <row r="65" spans="1:10" ht="15" thickBot="1" x14ac:dyDescent="0.35">
      <c r="A65" s="20"/>
      <c r="B65" s="33"/>
      <c r="C65" s="33"/>
      <c r="D65" s="33"/>
      <c r="E65" s="21"/>
      <c r="F65" s="21"/>
      <c r="G65" s="21"/>
      <c r="H65" s="71"/>
      <c r="I65" s="71"/>
      <c r="J65" s="72"/>
    </row>
    <row r="66" spans="1:10" ht="49.5" customHeight="1" x14ac:dyDescent="0.3">
      <c r="A66" s="51"/>
      <c r="B66" s="51"/>
      <c r="C66" s="51"/>
      <c r="D66" s="51"/>
      <c r="E66" s="51"/>
      <c r="F66" s="51"/>
      <c r="G66" s="51"/>
      <c r="H66" s="51"/>
      <c r="I66" s="51"/>
      <c r="J66" s="51"/>
    </row>
  </sheetData>
  <mergeCells count="7">
    <mergeCell ref="H65:J65"/>
    <mergeCell ref="A1:J1"/>
    <mergeCell ref="A2:A3"/>
    <mergeCell ref="B2:D2"/>
    <mergeCell ref="E2:G2"/>
    <mergeCell ref="H2:J2"/>
    <mergeCell ref="H64:J64"/>
  </mergeCells>
  <conditionalFormatting sqref="B4:J59">
    <cfRule type="cellIs" dxfId="3" priority="1" operator="equal">
      <formula>0</formula>
    </cfRule>
  </conditionalFormatting>
  <printOptions horizontalCentered="1" verticalCentered="1"/>
  <pageMargins left="0.70866141732283472" right="0.70866141732283472" top="0.74803149606299213" bottom="0.74803149606299213" header="0.31496062992125984" footer="0.31496062992125984"/>
  <pageSetup paperSize="9" scale="51" orientation="portrait" verticalDpi="597" r:id="rId1"/>
  <ignoredErrors>
    <ignoredError sqref="D5 G5 G56" formula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J65"/>
  <sheetViews>
    <sheetView topLeftCell="A38" zoomScale="80" zoomScaleNormal="80" workbookViewId="0">
      <selection activeCell="A65" sqref="A65:J65"/>
    </sheetView>
  </sheetViews>
  <sheetFormatPr defaultRowHeight="14.4" x14ac:dyDescent="0.3"/>
  <cols>
    <col min="1" max="1" width="34" bestFit="1" customWidth="1"/>
    <col min="2" max="10" width="14.33203125" customWidth="1"/>
  </cols>
  <sheetData>
    <row r="1" spans="1:10" ht="24.75" customHeight="1" x14ac:dyDescent="0.3">
      <c r="A1" s="53" t="s">
        <v>57</v>
      </c>
      <c r="B1" s="54"/>
      <c r="C1" s="54"/>
      <c r="D1" s="54"/>
      <c r="E1" s="54"/>
      <c r="F1" s="54"/>
      <c r="G1" s="54"/>
      <c r="H1" s="54"/>
      <c r="I1" s="54"/>
      <c r="J1" s="55"/>
    </row>
    <row r="2" spans="1:10" ht="27" customHeight="1" x14ac:dyDescent="0.3">
      <c r="A2" s="73" t="s">
        <v>1</v>
      </c>
      <c r="B2" s="58" t="s">
        <v>65</v>
      </c>
      <c r="C2" s="58"/>
      <c r="D2" s="58"/>
      <c r="E2" s="58" t="s">
        <v>66</v>
      </c>
      <c r="F2" s="58"/>
      <c r="G2" s="58"/>
      <c r="H2" s="59"/>
      <c r="I2" s="59"/>
      <c r="J2" s="60"/>
    </row>
    <row r="3" spans="1:10" x14ac:dyDescent="0.3">
      <c r="A3" s="74"/>
      <c r="B3" s="1" t="s">
        <v>2</v>
      </c>
      <c r="C3" s="1" t="s">
        <v>3</v>
      </c>
      <c r="D3" s="1" t="s">
        <v>4</v>
      </c>
      <c r="E3" s="1" t="s">
        <v>2</v>
      </c>
      <c r="F3" s="1" t="s">
        <v>3</v>
      </c>
      <c r="G3" s="1" t="s">
        <v>4</v>
      </c>
      <c r="H3" s="1"/>
      <c r="I3" s="1"/>
      <c r="J3" s="2"/>
    </row>
    <row r="4" spans="1:10" x14ac:dyDescent="0.3">
      <c r="A4" s="10" t="s">
        <v>5</v>
      </c>
      <c r="B4" s="3">
        <v>126189</v>
      </c>
      <c r="C4" s="3">
        <v>321230</v>
      </c>
      <c r="D4" s="3">
        <f>SUM(B4:C4)</f>
        <v>447419</v>
      </c>
      <c r="E4" s="3">
        <v>27773</v>
      </c>
      <c r="F4" s="3">
        <v>92270</v>
      </c>
      <c r="G4" s="3">
        <f>SUM(E4:F4)</f>
        <v>120043</v>
      </c>
      <c r="H4" s="4"/>
      <c r="I4" s="4"/>
      <c r="J4" s="5"/>
    </row>
    <row r="5" spans="1:10" x14ac:dyDescent="0.3">
      <c r="A5" s="6" t="s">
        <v>62</v>
      </c>
      <c r="B5" s="7">
        <v>475</v>
      </c>
      <c r="C5" s="7">
        <v>230</v>
      </c>
      <c r="D5" s="7">
        <f>+B5+C5</f>
        <v>705</v>
      </c>
      <c r="E5" s="7">
        <v>80644</v>
      </c>
      <c r="F5" s="7">
        <v>245763</v>
      </c>
      <c r="G5" s="7">
        <f>+E5+F5</f>
        <v>326407</v>
      </c>
      <c r="H5" s="8"/>
      <c r="I5" s="8"/>
      <c r="J5" s="9"/>
    </row>
    <row r="6" spans="1:10" x14ac:dyDescent="0.3">
      <c r="A6" s="10" t="s">
        <v>50</v>
      </c>
      <c r="B6" s="3">
        <v>141157</v>
      </c>
      <c r="C6" s="3">
        <v>83056</v>
      </c>
      <c r="D6" s="3">
        <f t="shared" ref="D6:D59" si="0">SUM(B6:C6)</f>
        <v>224213</v>
      </c>
      <c r="E6" s="3">
        <v>132098</v>
      </c>
      <c r="F6" s="3">
        <v>97820</v>
      </c>
      <c r="G6" s="3">
        <f t="shared" ref="G6:G59" si="1">SUM(E6:F6)</f>
        <v>229918</v>
      </c>
      <c r="H6" s="4"/>
      <c r="I6" s="4"/>
      <c r="J6" s="5"/>
    </row>
    <row r="7" spans="1:10" x14ac:dyDescent="0.3">
      <c r="A7" s="6" t="s">
        <v>6</v>
      </c>
      <c r="B7" s="7">
        <v>92841</v>
      </c>
      <c r="C7" s="7">
        <v>16938</v>
      </c>
      <c r="D7" s="7">
        <f t="shared" si="0"/>
        <v>109779</v>
      </c>
      <c r="E7" s="7">
        <v>71992</v>
      </c>
      <c r="F7" s="7">
        <v>18109</v>
      </c>
      <c r="G7" s="7">
        <f t="shared" si="1"/>
        <v>90101</v>
      </c>
      <c r="H7" s="8"/>
      <c r="I7" s="8"/>
      <c r="J7" s="9"/>
    </row>
    <row r="8" spans="1:10" x14ac:dyDescent="0.3">
      <c r="A8" s="10" t="s">
        <v>7</v>
      </c>
      <c r="B8" s="3">
        <v>64826</v>
      </c>
      <c r="C8" s="3">
        <v>18255</v>
      </c>
      <c r="D8" s="3">
        <f t="shared" si="0"/>
        <v>83081</v>
      </c>
      <c r="E8" s="3">
        <v>54056</v>
      </c>
      <c r="F8" s="3">
        <v>22521</v>
      </c>
      <c r="G8" s="3">
        <f t="shared" si="1"/>
        <v>76577</v>
      </c>
      <c r="H8" s="4"/>
      <c r="I8" s="4"/>
      <c r="J8" s="5"/>
    </row>
    <row r="9" spans="1:10" x14ac:dyDescent="0.3">
      <c r="A9" s="6" t="s">
        <v>8</v>
      </c>
      <c r="B9" s="7">
        <v>48377</v>
      </c>
      <c r="C9" s="7">
        <v>132734</v>
      </c>
      <c r="D9" s="7">
        <f t="shared" si="0"/>
        <v>181111</v>
      </c>
      <c r="E9" s="7">
        <v>42753</v>
      </c>
      <c r="F9" s="7">
        <v>154626</v>
      </c>
      <c r="G9" s="7">
        <f t="shared" si="1"/>
        <v>197379</v>
      </c>
      <c r="H9" s="8"/>
      <c r="I9" s="8"/>
      <c r="J9" s="9"/>
    </row>
    <row r="10" spans="1:10" x14ac:dyDescent="0.3">
      <c r="A10" s="10" t="s">
        <v>51</v>
      </c>
      <c r="B10" s="3">
        <v>4063</v>
      </c>
      <c r="C10" s="3">
        <v>3791</v>
      </c>
      <c r="D10" s="3">
        <f t="shared" si="0"/>
        <v>7854</v>
      </c>
      <c r="E10" s="3">
        <v>3460</v>
      </c>
      <c r="F10" s="3">
        <v>3667</v>
      </c>
      <c r="G10" s="3">
        <f t="shared" si="1"/>
        <v>7127</v>
      </c>
      <c r="H10" s="4"/>
      <c r="I10" s="4"/>
      <c r="J10" s="5"/>
    </row>
    <row r="11" spans="1:10" x14ac:dyDescent="0.3">
      <c r="A11" s="6" t="s">
        <v>9</v>
      </c>
      <c r="B11" s="7">
        <v>10669</v>
      </c>
      <c r="C11" s="7">
        <v>16469</v>
      </c>
      <c r="D11" s="7">
        <f t="shared" si="0"/>
        <v>27138</v>
      </c>
      <c r="E11" s="7">
        <v>10359</v>
      </c>
      <c r="F11" s="7">
        <v>18071</v>
      </c>
      <c r="G11" s="7">
        <f t="shared" si="1"/>
        <v>28430</v>
      </c>
      <c r="H11" s="8"/>
      <c r="I11" s="8"/>
      <c r="J11" s="9"/>
    </row>
    <row r="12" spans="1:10" x14ac:dyDescent="0.3">
      <c r="A12" s="10" t="s">
        <v>10</v>
      </c>
      <c r="B12" s="3">
        <v>17548</v>
      </c>
      <c r="C12" s="3">
        <v>9384</v>
      </c>
      <c r="D12" s="3">
        <f t="shared" si="0"/>
        <v>26932</v>
      </c>
      <c r="E12" s="3">
        <v>16478</v>
      </c>
      <c r="F12" s="3">
        <v>11008</v>
      </c>
      <c r="G12" s="3">
        <f t="shared" si="1"/>
        <v>27486</v>
      </c>
      <c r="H12" s="4"/>
      <c r="I12" s="4"/>
      <c r="J12" s="5"/>
    </row>
    <row r="13" spans="1:10" x14ac:dyDescent="0.3">
      <c r="A13" s="6" t="s">
        <v>11</v>
      </c>
      <c r="B13" s="7">
        <v>30512</v>
      </c>
      <c r="C13" s="7">
        <v>4960</v>
      </c>
      <c r="D13" s="7">
        <f t="shared" si="0"/>
        <v>35472</v>
      </c>
      <c r="E13" s="7">
        <v>25724</v>
      </c>
      <c r="F13" s="7">
        <v>6183</v>
      </c>
      <c r="G13" s="7">
        <f t="shared" si="1"/>
        <v>31907</v>
      </c>
      <c r="H13" s="8"/>
      <c r="I13" s="8"/>
      <c r="J13" s="9"/>
    </row>
    <row r="14" spans="1:10" x14ac:dyDescent="0.3">
      <c r="A14" s="10" t="s">
        <v>12</v>
      </c>
      <c r="B14" s="3">
        <v>23088</v>
      </c>
      <c r="C14" s="3">
        <v>2096</v>
      </c>
      <c r="D14" s="3">
        <f t="shared" si="0"/>
        <v>25184</v>
      </c>
      <c r="E14" s="3">
        <v>20032</v>
      </c>
      <c r="F14" s="3">
        <v>3033</v>
      </c>
      <c r="G14" s="3">
        <f t="shared" si="1"/>
        <v>23065</v>
      </c>
      <c r="H14" s="4"/>
      <c r="I14" s="4"/>
      <c r="J14" s="5"/>
    </row>
    <row r="15" spans="1:10" x14ac:dyDescent="0.3">
      <c r="A15" s="6" t="s">
        <v>13</v>
      </c>
      <c r="B15" s="7">
        <v>8065</v>
      </c>
      <c r="C15" s="7">
        <v>77</v>
      </c>
      <c r="D15" s="7">
        <f t="shared" si="0"/>
        <v>8142</v>
      </c>
      <c r="E15" s="7">
        <v>5930</v>
      </c>
      <c r="F15" s="7">
        <v>75</v>
      </c>
      <c r="G15" s="7">
        <f t="shared" si="1"/>
        <v>6005</v>
      </c>
      <c r="H15" s="8"/>
      <c r="I15" s="8"/>
      <c r="J15" s="9"/>
    </row>
    <row r="16" spans="1:10" x14ac:dyDescent="0.3">
      <c r="A16" s="10" t="s">
        <v>14</v>
      </c>
      <c r="B16" s="3">
        <v>14922</v>
      </c>
      <c r="C16" s="3">
        <v>1884</v>
      </c>
      <c r="D16" s="3">
        <f t="shared" si="0"/>
        <v>16806</v>
      </c>
      <c r="E16" s="3">
        <v>13418</v>
      </c>
      <c r="F16" s="3">
        <v>2537</v>
      </c>
      <c r="G16" s="3">
        <f t="shared" si="1"/>
        <v>15955</v>
      </c>
      <c r="H16" s="4"/>
      <c r="I16" s="4"/>
      <c r="J16" s="5"/>
    </row>
    <row r="17" spans="1:10" x14ac:dyDescent="0.3">
      <c r="A17" s="6" t="s">
        <v>15</v>
      </c>
      <c r="B17" s="7">
        <v>1825</v>
      </c>
      <c r="C17" s="7">
        <v>28</v>
      </c>
      <c r="D17" s="7">
        <f t="shared" si="0"/>
        <v>1853</v>
      </c>
      <c r="E17" s="7">
        <v>1584</v>
      </c>
      <c r="F17" s="7">
        <v>13</v>
      </c>
      <c r="G17" s="7">
        <f t="shared" si="1"/>
        <v>1597</v>
      </c>
      <c r="H17" s="8"/>
      <c r="I17" s="8"/>
      <c r="J17" s="9"/>
    </row>
    <row r="18" spans="1:10" x14ac:dyDescent="0.3">
      <c r="A18" s="10" t="s">
        <v>16</v>
      </c>
      <c r="B18" s="3">
        <v>2145</v>
      </c>
      <c r="C18" s="3">
        <v>4</v>
      </c>
      <c r="D18" s="3">
        <f t="shared" si="0"/>
        <v>2149</v>
      </c>
      <c r="E18" s="3">
        <v>2045</v>
      </c>
      <c r="F18" s="3">
        <v>0</v>
      </c>
      <c r="G18" s="3">
        <f t="shared" si="1"/>
        <v>2045</v>
      </c>
      <c r="H18" s="4"/>
      <c r="I18" s="4"/>
      <c r="J18" s="5"/>
    </row>
    <row r="19" spans="1:10" x14ac:dyDescent="0.3">
      <c r="A19" s="6" t="s">
        <v>17</v>
      </c>
      <c r="B19" s="7">
        <v>1188</v>
      </c>
      <c r="C19" s="7">
        <v>65</v>
      </c>
      <c r="D19" s="7">
        <f t="shared" si="0"/>
        <v>1253</v>
      </c>
      <c r="E19" s="7">
        <v>1097</v>
      </c>
      <c r="F19" s="7">
        <v>43</v>
      </c>
      <c r="G19" s="7">
        <f t="shared" si="1"/>
        <v>1140</v>
      </c>
      <c r="H19" s="8"/>
      <c r="I19" s="8"/>
      <c r="J19" s="9"/>
    </row>
    <row r="20" spans="1:10" x14ac:dyDescent="0.3">
      <c r="A20" s="10" t="s">
        <v>52</v>
      </c>
      <c r="B20" s="3">
        <v>0</v>
      </c>
      <c r="C20" s="3">
        <v>0</v>
      </c>
      <c r="D20" s="3"/>
      <c r="E20" s="3"/>
      <c r="F20" s="3"/>
      <c r="G20" s="3"/>
      <c r="H20" s="4"/>
      <c r="I20" s="4"/>
      <c r="J20" s="5"/>
    </row>
    <row r="21" spans="1:10" x14ac:dyDescent="0.3">
      <c r="A21" s="6" t="s">
        <v>18</v>
      </c>
      <c r="B21" s="7">
        <v>3369</v>
      </c>
      <c r="C21" s="7">
        <v>79</v>
      </c>
      <c r="D21" s="7">
        <f t="shared" si="0"/>
        <v>3448</v>
      </c>
      <c r="E21" s="7">
        <v>2318</v>
      </c>
      <c r="F21" s="7">
        <v>34</v>
      </c>
      <c r="G21" s="7">
        <f t="shared" si="1"/>
        <v>2352</v>
      </c>
      <c r="H21" s="8"/>
      <c r="I21" s="8"/>
      <c r="J21" s="9"/>
    </row>
    <row r="22" spans="1:10" x14ac:dyDescent="0.3">
      <c r="A22" s="10" t="s">
        <v>19</v>
      </c>
      <c r="B22" s="3">
        <v>0</v>
      </c>
      <c r="C22" s="3">
        <v>0</v>
      </c>
      <c r="D22" s="3"/>
      <c r="E22" s="3"/>
      <c r="F22" s="3"/>
      <c r="G22" s="3"/>
      <c r="H22" s="4"/>
      <c r="I22" s="4"/>
      <c r="J22" s="5"/>
    </row>
    <row r="23" spans="1:10" x14ac:dyDescent="0.3">
      <c r="A23" s="6" t="s">
        <v>20</v>
      </c>
      <c r="B23" s="7">
        <v>4130</v>
      </c>
      <c r="C23" s="7">
        <v>27</v>
      </c>
      <c r="D23" s="7">
        <f t="shared" si="0"/>
        <v>4157</v>
      </c>
      <c r="E23" s="7">
        <v>3113</v>
      </c>
      <c r="F23" s="7">
        <v>7</v>
      </c>
      <c r="G23" s="7">
        <f t="shared" si="1"/>
        <v>3120</v>
      </c>
      <c r="H23" s="8"/>
      <c r="I23" s="8"/>
      <c r="J23" s="9"/>
    </row>
    <row r="24" spans="1:10" x14ac:dyDescent="0.3">
      <c r="A24" s="10" t="s">
        <v>21</v>
      </c>
      <c r="B24" s="3">
        <v>1498</v>
      </c>
      <c r="C24" s="3">
        <v>9</v>
      </c>
      <c r="D24" s="3">
        <f t="shared" si="0"/>
        <v>1507</v>
      </c>
      <c r="E24" s="3">
        <v>1389</v>
      </c>
      <c r="F24" s="3">
        <v>4</v>
      </c>
      <c r="G24" s="3">
        <f t="shared" si="1"/>
        <v>1393</v>
      </c>
      <c r="H24" s="4"/>
      <c r="I24" s="4"/>
      <c r="J24" s="5"/>
    </row>
    <row r="25" spans="1:10" x14ac:dyDescent="0.3">
      <c r="A25" s="6" t="s">
        <v>22</v>
      </c>
      <c r="B25" s="7">
        <v>1582</v>
      </c>
      <c r="C25" s="7">
        <v>121</v>
      </c>
      <c r="D25" s="7">
        <f t="shared" si="0"/>
        <v>1703</v>
      </c>
      <c r="E25" s="7">
        <v>1791</v>
      </c>
      <c r="F25" s="7">
        <v>106</v>
      </c>
      <c r="G25" s="7">
        <f t="shared" si="1"/>
        <v>1897</v>
      </c>
      <c r="H25" s="8"/>
      <c r="I25" s="8"/>
      <c r="J25" s="9"/>
    </row>
    <row r="26" spans="1:10" x14ac:dyDescent="0.3">
      <c r="A26" s="10" t="s">
        <v>23</v>
      </c>
      <c r="B26" s="3">
        <v>1434</v>
      </c>
      <c r="C26" s="3">
        <v>64</v>
      </c>
      <c r="D26" s="3">
        <f t="shared" si="0"/>
        <v>1498</v>
      </c>
      <c r="E26" s="3">
        <v>935</v>
      </c>
      <c r="F26" s="3">
        <v>27</v>
      </c>
      <c r="G26" s="3">
        <f t="shared" si="1"/>
        <v>962</v>
      </c>
      <c r="H26" s="4"/>
      <c r="I26" s="4"/>
      <c r="J26" s="5"/>
    </row>
    <row r="27" spans="1:10" x14ac:dyDescent="0.3">
      <c r="A27" s="6" t="s">
        <v>24</v>
      </c>
      <c r="B27" s="7">
        <v>0</v>
      </c>
      <c r="C27" s="7">
        <v>0</v>
      </c>
      <c r="D27" s="7"/>
      <c r="E27" s="7"/>
      <c r="F27" s="7"/>
      <c r="G27" s="7">
        <f t="shared" si="1"/>
        <v>0</v>
      </c>
      <c r="H27" s="8"/>
      <c r="I27" s="8"/>
      <c r="J27" s="9"/>
    </row>
    <row r="28" spans="1:10" x14ac:dyDescent="0.3">
      <c r="A28" s="10" t="s">
        <v>25</v>
      </c>
      <c r="B28" s="3">
        <v>3971</v>
      </c>
      <c r="C28" s="3">
        <v>514</v>
      </c>
      <c r="D28" s="3">
        <f t="shared" si="0"/>
        <v>4485</v>
      </c>
      <c r="E28" s="3">
        <v>3730</v>
      </c>
      <c r="F28" s="3">
        <v>642</v>
      </c>
      <c r="G28" s="3">
        <f t="shared" si="1"/>
        <v>4372</v>
      </c>
      <c r="H28" s="4"/>
      <c r="I28" s="4"/>
      <c r="J28" s="5"/>
    </row>
    <row r="29" spans="1:10" x14ac:dyDescent="0.3">
      <c r="A29" s="6" t="s">
        <v>26</v>
      </c>
      <c r="B29" s="7">
        <v>12471</v>
      </c>
      <c r="C29" s="7">
        <v>386</v>
      </c>
      <c r="D29" s="7">
        <f t="shared" si="0"/>
        <v>12857</v>
      </c>
      <c r="E29" s="7">
        <v>10264</v>
      </c>
      <c r="F29" s="7">
        <v>592</v>
      </c>
      <c r="G29" s="7">
        <f t="shared" si="1"/>
        <v>10856</v>
      </c>
      <c r="H29" s="8"/>
      <c r="I29" s="8"/>
      <c r="J29" s="9"/>
    </row>
    <row r="30" spans="1:10" x14ac:dyDescent="0.3">
      <c r="A30" s="10" t="s">
        <v>27</v>
      </c>
      <c r="B30" s="3">
        <v>6229</v>
      </c>
      <c r="C30" s="3">
        <v>258</v>
      </c>
      <c r="D30" s="3">
        <f t="shared" si="0"/>
        <v>6487</v>
      </c>
      <c r="E30" s="3">
        <v>5259</v>
      </c>
      <c r="F30" s="3">
        <v>276</v>
      </c>
      <c r="G30" s="3">
        <f t="shared" si="1"/>
        <v>5535</v>
      </c>
      <c r="H30" s="4"/>
      <c r="I30" s="4"/>
      <c r="J30" s="5"/>
    </row>
    <row r="31" spans="1:10" x14ac:dyDescent="0.3">
      <c r="A31" s="6" t="s">
        <v>28</v>
      </c>
      <c r="B31" s="7">
        <v>3213</v>
      </c>
      <c r="C31" s="7">
        <v>4</v>
      </c>
      <c r="D31" s="7">
        <f t="shared" si="0"/>
        <v>3217</v>
      </c>
      <c r="E31" s="7">
        <v>2666</v>
      </c>
      <c r="F31" s="7">
        <v>8</v>
      </c>
      <c r="G31" s="7">
        <f t="shared" si="1"/>
        <v>2674</v>
      </c>
      <c r="H31" s="8"/>
      <c r="I31" s="8"/>
      <c r="J31" s="9"/>
    </row>
    <row r="32" spans="1:10" x14ac:dyDescent="0.3">
      <c r="A32" s="10" t="s">
        <v>53</v>
      </c>
      <c r="B32" s="3">
        <v>7</v>
      </c>
      <c r="C32" s="3">
        <v>668</v>
      </c>
      <c r="D32" s="3">
        <f t="shared" si="0"/>
        <v>675</v>
      </c>
      <c r="E32" s="3">
        <v>6</v>
      </c>
      <c r="F32" s="3">
        <v>603</v>
      </c>
      <c r="G32" s="3">
        <f t="shared" si="1"/>
        <v>609</v>
      </c>
      <c r="H32" s="4"/>
      <c r="I32" s="4"/>
      <c r="J32" s="5"/>
    </row>
    <row r="33" spans="1:10" x14ac:dyDescent="0.3">
      <c r="A33" s="6" t="s">
        <v>61</v>
      </c>
      <c r="B33" s="7">
        <v>1241</v>
      </c>
      <c r="C33" s="7">
        <v>0</v>
      </c>
      <c r="D33" s="7">
        <f t="shared" si="0"/>
        <v>1241</v>
      </c>
      <c r="E33" s="7">
        <v>1195</v>
      </c>
      <c r="F33" s="7">
        <v>0</v>
      </c>
      <c r="G33" s="7">
        <f t="shared" si="1"/>
        <v>1195</v>
      </c>
      <c r="H33" s="8"/>
      <c r="I33" s="8"/>
      <c r="J33" s="9"/>
    </row>
    <row r="34" spans="1:10" x14ac:dyDescent="0.3">
      <c r="A34" s="10" t="s">
        <v>29</v>
      </c>
      <c r="B34" s="3">
        <v>6703</v>
      </c>
      <c r="C34" s="3">
        <v>2086</v>
      </c>
      <c r="D34" s="3">
        <f t="shared" si="0"/>
        <v>8789</v>
      </c>
      <c r="E34" s="3">
        <v>6103</v>
      </c>
      <c r="F34" s="3">
        <v>2035</v>
      </c>
      <c r="G34" s="3">
        <f t="shared" si="1"/>
        <v>8138</v>
      </c>
      <c r="H34" s="4"/>
      <c r="I34" s="39"/>
      <c r="J34" s="5"/>
    </row>
    <row r="35" spans="1:10" x14ac:dyDescent="0.3">
      <c r="A35" s="6" t="s">
        <v>60</v>
      </c>
      <c r="B35" s="7">
        <v>1820</v>
      </c>
      <c r="C35" s="7">
        <v>0</v>
      </c>
      <c r="D35" s="7">
        <f t="shared" si="0"/>
        <v>1820</v>
      </c>
      <c r="E35" s="7">
        <v>1620</v>
      </c>
      <c r="F35" s="7">
        <v>10</v>
      </c>
      <c r="G35" s="7">
        <f t="shared" si="1"/>
        <v>1630</v>
      </c>
      <c r="H35" s="8"/>
      <c r="I35" s="8"/>
      <c r="J35" s="9"/>
    </row>
    <row r="36" spans="1:10" x14ac:dyDescent="0.3">
      <c r="A36" s="10" t="s">
        <v>30</v>
      </c>
      <c r="B36" s="3">
        <v>677</v>
      </c>
      <c r="C36" s="3">
        <v>417</v>
      </c>
      <c r="D36" s="3">
        <f t="shared" si="0"/>
        <v>1094</v>
      </c>
      <c r="E36" s="3">
        <v>624</v>
      </c>
      <c r="F36" s="3">
        <v>317</v>
      </c>
      <c r="G36" s="3">
        <f t="shared" si="1"/>
        <v>941</v>
      </c>
      <c r="H36" s="4"/>
      <c r="I36" s="4"/>
      <c r="J36" s="5"/>
    </row>
    <row r="37" spans="1:10" x14ac:dyDescent="0.3">
      <c r="A37" s="6" t="s">
        <v>31</v>
      </c>
      <c r="B37" s="7">
        <v>2346</v>
      </c>
      <c r="C37" s="7">
        <v>12</v>
      </c>
      <c r="D37" s="7">
        <f t="shared" si="0"/>
        <v>2358</v>
      </c>
      <c r="E37" s="7">
        <v>1912</v>
      </c>
      <c r="F37" s="7">
        <v>5</v>
      </c>
      <c r="G37" s="7">
        <f t="shared" si="1"/>
        <v>1917</v>
      </c>
      <c r="H37" s="8"/>
      <c r="I37" s="8"/>
      <c r="J37" s="9"/>
    </row>
    <row r="38" spans="1:10" x14ac:dyDescent="0.3">
      <c r="A38" s="10" t="s">
        <v>32</v>
      </c>
      <c r="B38" s="3">
        <v>3618</v>
      </c>
      <c r="C38" s="3">
        <v>0</v>
      </c>
      <c r="D38" s="3">
        <f t="shared" si="0"/>
        <v>3618</v>
      </c>
      <c r="E38" s="3">
        <v>3192</v>
      </c>
      <c r="F38" s="3">
        <v>1</v>
      </c>
      <c r="G38" s="3">
        <f t="shared" si="1"/>
        <v>3193</v>
      </c>
      <c r="H38" s="4"/>
      <c r="I38" s="4"/>
      <c r="J38" s="5"/>
    </row>
    <row r="39" spans="1:10" x14ac:dyDescent="0.3">
      <c r="A39" s="6" t="s">
        <v>33</v>
      </c>
      <c r="B39" s="7">
        <v>759</v>
      </c>
      <c r="C39" s="7">
        <v>18</v>
      </c>
      <c r="D39" s="7">
        <f t="shared" si="0"/>
        <v>777</v>
      </c>
      <c r="E39" s="7">
        <v>505</v>
      </c>
      <c r="F39" s="7">
        <v>20</v>
      </c>
      <c r="G39" s="7">
        <f t="shared" si="1"/>
        <v>525</v>
      </c>
      <c r="H39" s="8"/>
      <c r="I39" s="8"/>
      <c r="J39" s="9"/>
    </row>
    <row r="40" spans="1:10" x14ac:dyDescent="0.3">
      <c r="A40" s="10" t="s">
        <v>34</v>
      </c>
      <c r="B40" s="3">
        <v>11677</v>
      </c>
      <c r="C40" s="3">
        <v>2281</v>
      </c>
      <c r="D40" s="3">
        <f t="shared" si="0"/>
        <v>13958</v>
      </c>
      <c r="E40" s="3">
        <v>12243</v>
      </c>
      <c r="F40" s="3">
        <v>2308</v>
      </c>
      <c r="G40" s="3">
        <f t="shared" si="1"/>
        <v>14551</v>
      </c>
      <c r="H40" s="4"/>
      <c r="I40" s="4"/>
      <c r="J40" s="5"/>
    </row>
    <row r="41" spans="1:10" x14ac:dyDescent="0.3">
      <c r="A41" s="6" t="s">
        <v>35</v>
      </c>
      <c r="B41" s="7">
        <v>311</v>
      </c>
      <c r="C41" s="7">
        <v>28</v>
      </c>
      <c r="D41" s="7">
        <f t="shared" si="0"/>
        <v>339</v>
      </c>
      <c r="E41" s="7">
        <v>316</v>
      </c>
      <c r="F41" s="7">
        <v>34</v>
      </c>
      <c r="G41" s="7">
        <f t="shared" si="1"/>
        <v>350</v>
      </c>
      <c r="H41" s="8"/>
      <c r="I41" s="8"/>
      <c r="J41" s="9"/>
    </row>
    <row r="42" spans="1:10" x14ac:dyDescent="0.3">
      <c r="A42" s="10" t="s">
        <v>36</v>
      </c>
      <c r="B42" s="3">
        <v>6967</v>
      </c>
      <c r="C42" s="3">
        <v>820</v>
      </c>
      <c r="D42" s="3">
        <f t="shared" si="0"/>
        <v>7787</v>
      </c>
      <c r="E42" s="3">
        <v>5842</v>
      </c>
      <c r="F42" s="3">
        <v>874</v>
      </c>
      <c r="G42" s="3">
        <f t="shared" si="1"/>
        <v>6716</v>
      </c>
      <c r="H42" s="4"/>
      <c r="I42" s="4"/>
      <c r="J42" s="5"/>
    </row>
    <row r="43" spans="1:10" x14ac:dyDescent="0.3">
      <c r="A43" s="6" t="s">
        <v>37</v>
      </c>
      <c r="B43" s="7">
        <v>5521</v>
      </c>
      <c r="C43" s="7">
        <v>106</v>
      </c>
      <c r="D43" s="7">
        <f t="shared" si="0"/>
        <v>5627</v>
      </c>
      <c r="E43" s="7">
        <v>4581</v>
      </c>
      <c r="F43" s="7">
        <v>73</v>
      </c>
      <c r="G43" s="7">
        <f t="shared" si="1"/>
        <v>4654</v>
      </c>
      <c r="H43" s="8"/>
      <c r="I43" s="8"/>
      <c r="J43" s="9"/>
    </row>
    <row r="44" spans="1:10" x14ac:dyDescent="0.3">
      <c r="A44" s="10" t="s">
        <v>38</v>
      </c>
      <c r="B44" s="3">
        <v>4410</v>
      </c>
      <c r="C44" s="3">
        <v>29</v>
      </c>
      <c r="D44" s="3">
        <f t="shared" si="0"/>
        <v>4439</v>
      </c>
      <c r="E44" s="3">
        <v>3426</v>
      </c>
      <c r="F44" s="3">
        <v>17</v>
      </c>
      <c r="G44" s="3">
        <f t="shared" si="1"/>
        <v>3443</v>
      </c>
      <c r="H44" s="4"/>
      <c r="I44" s="4"/>
      <c r="J44" s="5"/>
    </row>
    <row r="45" spans="1:10" x14ac:dyDescent="0.3">
      <c r="A45" s="6" t="s">
        <v>63</v>
      </c>
      <c r="B45" s="7">
        <v>2808</v>
      </c>
      <c r="C45" s="7">
        <v>17</v>
      </c>
      <c r="D45" s="7">
        <f t="shared" si="0"/>
        <v>2825</v>
      </c>
      <c r="E45" s="7">
        <v>2336</v>
      </c>
      <c r="F45" s="7">
        <v>12</v>
      </c>
      <c r="G45" s="7">
        <f t="shared" si="1"/>
        <v>2348</v>
      </c>
      <c r="H45" s="8"/>
      <c r="I45" s="8"/>
      <c r="J45" s="9"/>
    </row>
    <row r="46" spans="1:10" x14ac:dyDescent="0.3">
      <c r="A46" s="10" t="s">
        <v>39</v>
      </c>
      <c r="B46" s="3">
        <v>2498</v>
      </c>
      <c r="C46" s="3">
        <v>20</v>
      </c>
      <c r="D46" s="3">
        <f t="shared" si="0"/>
        <v>2518</v>
      </c>
      <c r="E46" s="3">
        <v>3091</v>
      </c>
      <c r="F46" s="3">
        <v>30</v>
      </c>
      <c r="G46" s="3">
        <f t="shared" si="1"/>
        <v>3121</v>
      </c>
      <c r="H46" s="4"/>
      <c r="I46" s="4"/>
      <c r="J46" s="5"/>
    </row>
    <row r="47" spans="1:10" x14ac:dyDescent="0.3">
      <c r="A47" s="6" t="s">
        <v>40</v>
      </c>
      <c r="B47" s="7">
        <v>6956</v>
      </c>
      <c r="C47" s="7">
        <v>128</v>
      </c>
      <c r="D47" s="7">
        <f t="shared" si="0"/>
        <v>7084</v>
      </c>
      <c r="E47" s="7">
        <v>6359</v>
      </c>
      <c r="F47" s="7">
        <v>179</v>
      </c>
      <c r="G47" s="7">
        <f t="shared" si="1"/>
        <v>6538</v>
      </c>
      <c r="H47" s="8"/>
      <c r="I47" s="8"/>
      <c r="J47" s="9"/>
    </row>
    <row r="48" spans="1:10" x14ac:dyDescent="0.3">
      <c r="A48" s="10" t="s">
        <v>41</v>
      </c>
      <c r="B48" s="3">
        <v>10624</v>
      </c>
      <c r="C48" s="3">
        <v>816</v>
      </c>
      <c r="D48" s="3">
        <f t="shared" si="0"/>
        <v>11440</v>
      </c>
      <c r="E48" s="3">
        <v>8389</v>
      </c>
      <c r="F48" s="3">
        <v>961</v>
      </c>
      <c r="G48" s="3">
        <f t="shared" si="1"/>
        <v>9350</v>
      </c>
      <c r="H48" s="4"/>
      <c r="I48" s="4"/>
      <c r="J48" s="5"/>
    </row>
    <row r="49" spans="1:10" x14ac:dyDescent="0.3">
      <c r="A49" s="6" t="s">
        <v>42</v>
      </c>
      <c r="B49" s="7">
        <v>0</v>
      </c>
      <c r="C49" s="7">
        <v>0</v>
      </c>
      <c r="D49" s="7">
        <f t="shared" si="0"/>
        <v>0</v>
      </c>
      <c r="E49" s="7">
        <v>279</v>
      </c>
      <c r="F49" s="7">
        <v>0</v>
      </c>
      <c r="G49" s="7">
        <f t="shared" si="1"/>
        <v>279</v>
      </c>
      <c r="H49" s="8"/>
      <c r="I49" s="8"/>
      <c r="J49" s="9"/>
    </row>
    <row r="50" spans="1:10" x14ac:dyDescent="0.3">
      <c r="A50" s="10" t="s">
        <v>43</v>
      </c>
      <c r="B50" s="3">
        <v>1338</v>
      </c>
      <c r="C50" s="3">
        <v>5</v>
      </c>
      <c r="D50" s="3">
        <f t="shared" si="0"/>
        <v>1343</v>
      </c>
      <c r="E50" s="3">
        <v>1036</v>
      </c>
      <c r="F50" s="3">
        <v>2</v>
      </c>
      <c r="G50" s="3">
        <f t="shared" si="1"/>
        <v>1038</v>
      </c>
      <c r="H50" s="4"/>
      <c r="I50" s="4"/>
      <c r="J50" s="5"/>
    </row>
    <row r="51" spans="1:10" x14ac:dyDescent="0.3">
      <c r="A51" s="6" t="s">
        <v>44</v>
      </c>
      <c r="B51" s="7">
        <v>3650</v>
      </c>
      <c r="C51" s="7">
        <v>58</v>
      </c>
      <c r="D51" s="7">
        <f t="shared" si="0"/>
        <v>3708</v>
      </c>
      <c r="E51" s="7">
        <v>3062</v>
      </c>
      <c r="F51" s="7">
        <v>31</v>
      </c>
      <c r="G51" s="7">
        <f t="shared" si="1"/>
        <v>3093</v>
      </c>
      <c r="H51" s="8"/>
      <c r="I51" s="8"/>
      <c r="J51" s="9"/>
    </row>
    <row r="52" spans="1:10" x14ac:dyDescent="0.3">
      <c r="A52" s="10" t="s">
        <v>45</v>
      </c>
      <c r="B52" s="3">
        <v>5246</v>
      </c>
      <c r="C52" s="3">
        <v>124</v>
      </c>
      <c r="D52" s="3">
        <f t="shared" si="0"/>
        <v>5370</v>
      </c>
      <c r="E52" s="3">
        <v>4564</v>
      </c>
      <c r="F52" s="3">
        <v>78</v>
      </c>
      <c r="G52" s="3">
        <f t="shared" si="1"/>
        <v>4642</v>
      </c>
      <c r="H52" s="4"/>
      <c r="I52" s="4"/>
      <c r="J52" s="5"/>
    </row>
    <row r="53" spans="1:10" x14ac:dyDescent="0.3">
      <c r="A53" s="6" t="s">
        <v>46</v>
      </c>
      <c r="B53" s="7">
        <v>2659</v>
      </c>
      <c r="C53" s="7">
        <v>0</v>
      </c>
      <c r="D53" s="7">
        <f t="shared" si="0"/>
        <v>2659</v>
      </c>
      <c r="E53" s="7">
        <v>2281</v>
      </c>
      <c r="F53" s="7">
        <v>0</v>
      </c>
      <c r="G53" s="7">
        <f t="shared" si="1"/>
        <v>2281</v>
      </c>
      <c r="H53" s="8"/>
      <c r="I53" s="8"/>
      <c r="J53" s="9"/>
    </row>
    <row r="54" spans="1:10" x14ac:dyDescent="0.3">
      <c r="A54" s="10" t="s">
        <v>64</v>
      </c>
      <c r="B54" s="3">
        <v>682</v>
      </c>
      <c r="C54" s="3">
        <v>87</v>
      </c>
      <c r="D54" s="3">
        <f t="shared" si="0"/>
        <v>769</v>
      </c>
      <c r="E54" s="3">
        <v>448</v>
      </c>
      <c r="F54" s="3">
        <v>57</v>
      </c>
      <c r="G54" s="3">
        <f t="shared" si="1"/>
        <v>505</v>
      </c>
      <c r="H54" s="4"/>
      <c r="I54" s="4"/>
      <c r="J54" s="5"/>
    </row>
    <row r="55" spans="1:10" x14ac:dyDescent="0.3">
      <c r="A55" s="6" t="s">
        <v>47</v>
      </c>
      <c r="B55" s="7">
        <v>0</v>
      </c>
      <c r="C55" s="7">
        <v>0</v>
      </c>
      <c r="D55" s="7">
        <f t="shared" si="0"/>
        <v>0</v>
      </c>
      <c r="E55" s="7"/>
      <c r="F55" s="7"/>
      <c r="G55" s="7">
        <f t="shared" si="1"/>
        <v>0</v>
      </c>
      <c r="H55" s="8"/>
      <c r="I55" s="8"/>
      <c r="J55" s="9"/>
    </row>
    <row r="56" spans="1:10" x14ac:dyDescent="0.3">
      <c r="A56" s="10" t="s">
        <v>48</v>
      </c>
      <c r="B56" s="3">
        <v>197</v>
      </c>
      <c r="C56" s="3">
        <v>1</v>
      </c>
      <c r="D56" s="3">
        <f t="shared" si="0"/>
        <v>198</v>
      </c>
      <c r="E56" s="3">
        <v>271</v>
      </c>
      <c r="F56" s="3">
        <v>8</v>
      </c>
      <c r="G56" s="3">
        <f>+E56+F56</f>
        <v>279</v>
      </c>
      <c r="H56" s="4"/>
      <c r="I56" s="4"/>
      <c r="J56" s="5"/>
    </row>
    <row r="57" spans="1:10" x14ac:dyDescent="0.3">
      <c r="A57" s="6" t="s">
        <v>49</v>
      </c>
      <c r="B57" s="7">
        <v>9372</v>
      </c>
      <c r="C57" s="7">
        <v>28</v>
      </c>
      <c r="D57" s="7">
        <f t="shared" si="0"/>
        <v>9400</v>
      </c>
      <c r="E57" s="7">
        <v>8197</v>
      </c>
      <c r="F57" s="7">
        <v>53</v>
      </c>
      <c r="G57" s="7">
        <f t="shared" si="1"/>
        <v>8250</v>
      </c>
      <c r="H57" s="8"/>
      <c r="I57" s="8"/>
      <c r="J57" s="9"/>
    </row>
    <row r="58" spans="1:10" x14ac:dyDescent="0.3">
      <c r="A58" s="10" t="s">
        <v>54</v>
      </c>
      <c r="B58" s="3">
        <v>608</v>
      </c>
      <c r="C58" s="3">
        <v>189</v>
      </c>
      <c r="D58" s="3">
        <f t="shared" si="0"/>
        <v>797</v>
      </c>
      <c r="E58" s="3">
        <v>556</v>
      </c>
      <c r="F58" s="3">
        <v>171</v>
      </c>
      <c r="G58" s="3">
        <f t="shared" si="1"/>
        <v>727</v>
      </c>
      <c r="H58" s="4"/>
      <c r="I58" s="4"/>
      <c r="J58" s="5"/>
    </row>
    <row r="59" spans="1:10" x14ac:dyDescent="0.3">
      <c r="A59" s="6" t="s">
        <v>55</v>
      </c>
      <c r="B59" s="7">
        <v>0</v>
      </c>
      <c r="C59" s="7">
        <v>218</v>
      </c>
      <c r="D59" s="7">
        <f t="shared" si="0"/>
        <v>218</v>
      </c>
      <c r="E59" s="7">
        <v>238</v>
      </c>
      <c r="F59" s="7">
        <v>76</v>
      </c>
      <c r="G59" s="7">
        <f t="shared" si="1"/>
        <v>314</v>
      </c>
      <c r="H59" s="8"/>
      <c r="I59" s="8"/>
      <c r="J59" s="9"/>
    </row>
    <row r="60" spans="1:10" x14ac:dyDescent="0.3">
      <c r="A60" s="11"/>
      <c r="B60" s="22"/>
      <c r="C60" s="22"/>
      <c r="D60" s="22"/>
      <c r="E60" s="22"/>
      <c r="F60" s="22"/>
      <c r="G60" s="22"/>
      <c r="H60" s="23"/>
      <c r="I60" s="23"/>
      <c r="J60" s="23"/>
    </row>
    <row r="61" spans="1:10" x14ac:dyDescent="0.3">
      <c r="A61" s="14"/>
      <c r="B61" s="24"/>
      <c r="C61" s="24"/>
      <c r="D61" s="24"/>
      <c r="E61" s="24"/>
      <c r="F61" s="24"/>
      <c r="G61" s="24"/>
      <c r="H61" s="25"/>
      <c r="I61" s="25"/>
      <c r="J61" s="25"/>
    </row>
    <row r="62" spans="1:10" x14ac:dyDescent="0.3">
      <c r="A62" s="26"/>
      <c r="B62" s="27"/>
      <c r="C62" s="27"/>
      <c r="D62" s="27"/>
      <c r="E62" s="27"/>
      <c r="F62" s="27"/>
      <c r="G62" s="27"/>
      <c r="H62" s="27"/>
      <c r="I62" s="27"/>
      <c r="J62" s="28"/>
    </row>
    <row r="63" spans="1:10" x14ac:dyDescent="0.3">
      <c r="A63" s="26"/>
      <c r="B63" s="27"/>
      <c r="C63" s="27"/>
      <c r="D63" s="27"/>
      <c r="E63" s="27"/>
      <c r="F63" s="27"/>
      <c r="G63" s="27"/>
      <c r="H63" s="27"/>
      <c r="I63" s="27"/>
      <c r="J63" s="28"/>
    </row>
    <row r="64" spans="1:10" ht="15" thickBot="1" x14ac:dyDescent="0.35">
      <c r="A64" s="29"/>
      <c r="B64" s="30"/>
      <c r="C64" s="30"/>
      <c r="D64" s="30"/>
      <c r="E64" s="30"/>
      <c r="F64" s="30"/>
      <c r="G64" s="30"/>
      <c r="H64" s="30"/>
      <c r="I64" s="30"/>
      <c r="J64" s="31"/>
    </row>
    <row r="65" spans="1:10" ht="50.25" customHeight="1" x14ac:dyDescent="0.3">
      <c r="A65" s="51"/>
      <c r="B65" s="51"/>
      <c r="C65" s="51"/>
      <c r="D65" s="51"/>
      <c r="E65" s="51"/>
      <c r="F65" s="51"/>
      <c r="G65" s="51"/>
      <c r="H65" s="51"/>
      <c r="I65" s="51"/>
      <c r="J65" s="51"/>
    </row>
  </sheetData>
  <mergeCells count="5">
    <mergeCell ref="A1:J1"/>
    <mergeCell ref="A2:A3"/>
    <mergeCell ref="B2:D2"/>
    <mergeCell ref="E2:G2"/>
    <mergeCell ref="H2:J2"/>
  </mergeCells>
  <conditionalFormatting sqref="B4:J59">
    <cfRule type="cellIs" dxfId="2" priority="1" operator="equal">
      <formula>0</formula>
    </cfRule>
  </conditionalFormatting>
  <printOptions horizontalCentered="1" verticalCentered="1"/>
  <pageMargins left="0.70866141732283472" right="0.70866141732283472" top="0.74803149606299213" bottom="0.74803149606299213" header="0.31496062992125984" footer="0.31496062992125984"/>
  <pageSetup paperSize="9" scale="53" orientation="portrait" verticalDpi="597" r:id="rId1"/>
  <ignoredErrors>
    <ignoredError sqref="D5 G5 G56" formula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J68"/>
  <sheetViews>
    <sheetView topLeftCell="A47" zoomScale="80" zoomScaleNormal="80" workbookViewId="0">
      <selection activeCell="A65" sqref="A65:J65"/>
    </sheetView>
  </sheetViews>
  <sheetFormatPr defaultRowHeight="14.4" x14ac:dyDescent="0.3"/>
  <cols>
    <col min="1" max="1" width="34" bestFit="1" customWidth="1"/>
    <col min="2" max="10" width="14.33203125" customWidth="1"/>
  </cols>
  <sheetData>
    <row r="1" spans="1:10" ht="18" customHeight="1" x14ac:dyDescent="0.3">
      <c r="A1" s="53" t="s">
        <v>58</v>
      </c>
      <c r="B1" s="54"/>
      <c r="C1" s="54"/>
      <c r="D1" s="54"/>
      <c r="E1" s="54"/>
      <c r="F1" s="54"/>
      <c r="G1" s="54"/>
      <c r="H1" s="54"/>
      <c r="I1" s="54"/>
      <c r="J1" s="55"/>
    </row>
    <row r="2" spans="1:10" ht="30" customHeight="1" x14ac:dyDescent="0.3">
      <c r="A2" s="73" t="s">
        <v>1</v>
      </c>
      <c r="B2" s="58" t="s">
        <v>65</v>
      </c>
      <c r="C2" s="58"/>
      <c r="D2" s="58"/>
      <c r="E2" s="58" t="s">
        <v>66</v>
      </c>
      <c r="F2" s="58"/>
      <c r="G2" s="58"/>
      <c r="H2" s="59"/>
      <c r="I2" s="59"/>
      <c r="J2" s="60"/>
    </row>
    <row r="3" spans="1:10" x14ac:dyDescent="0.3">
      <c r="A3" s="74"/>
      <c r="B3" s="1" t="s">
        <v>2</v>
      </c>
      <c r="C3" s="1" t="s">
        <v>3</v>
      </c>
      <c r="D3" s="1" t="s">
        <v>4</v>
      </c>
      <c r="E3" s="1" t="s">
        <v>2</v>
      </c>
      <c r="F3" s="1" t="s">
        <v>3</v>
      </c>
      <c r="G3" s="1" t="s">
        <v>4</v>
      </c>
      <c r="H3" s="1"/>
      <c r="I3" s="1"/>
      <c r="J3" s="2"/>
    </row>
    <row r="4" spans="1:10" x14ac:dyDescent="0.3">
      <c r="A4" s="10" t="s">
        <v>5</v>
      </c>
      <c r="B4" s="3">
        <v>193996.96999999997</v>
      </c>
      <c r="C4" s="3">
        <v>2234872.426</v>
      </c>
      <c r="D4" s="3">
        <f>SUM(B4:C4)</f>
        <v>2428869.3959999997</v>
      </c>
      <c r="E4" s="3">
        <v>43645.811000000016</v>
      </c>
      <c r="F4" s="3">
        <v>1068442.1699999997</v>
      </c>
      <c r="G4" s="3">
        <f>SUM(E4:F4)</f>
        <v>1112087.9809999997</v>
      </c>
      <c r="H4" s="4"/>
      <c r="I4" s="4"/>
      <c r="J4" s="5"/>
    </row>
    <row r="5" spans="1:10" x14ac:dyDescent="0.3">
      <c r="A5" s="6" t="s">
        <v>62</v>
      </c>
      <c r="B5" s="7">
        <v>307.56600000000003</v>
      </c>
      <c r="C5" s="7">
        <v>302.32299999999998</v>
      </c>
      <c r="D5" s="7">
        <f>+B5+C5</f>
        <v>609.88900000000001</v>
      </c>
      <c r="E5" s="7">
        <v>140580.41900000002</v>
      </c>
      <c r="F5" s="7">
        <v>1352327.6160000027</v>
      </c>
      <c r="G5" s="7">
        <f>+E5+F5</f>
        <v>1492908.0350000027</v>
      </c>
      <c r="H5" s="8"/>
      <c r="I5" s="8"/>
      <c r="J5" s="9"/>
    </row>
    <row r="6" spans="1:10" x14ac:dyDescent="0.3">
      <c r="A6" s="10" t="s">
        <v>50</v>
      </c>
      <c r="B6" s="3">
        <v>149536.24600000001</v>
      </c>
      <c r="C6" s="3">
        <v>225425.06</v>
      </c>
      <c r="D6" s="3">
        <f t="shared" ref="D6:D59" si="0">SUM(B6:C6)</f>
        <v>374961.30599999998</v>
      </c>
      <c r="E6" s="3">
        <v>149978.44600000003</v>
      </c>
      <c r="F6" s="3">
        <v>239940.77899999975</v>
      </c>
      <c r="G6" s="3">
        <f t="shared" ref="G6:G59" si="1">SUM(E6:F6)</f>
        <v>389919.22499999974</v>
      </c>
      <c r="H6" s="39"/>
      <c r="I6" s="4"/>
      <c r="J6" s="5"/>
    </row>
    <row r="7" spans="1:10" x14ac:dyDescent="0.3">
      <c r="A7" s="6" t="s">
        <v>6</v>
      </c>
      <c r="B7" s="7">
        <v>95741.298999999999</v>
      </c>
      <c r="C7" s="7">
        <v>36763.021999999997</v>
      </c>
      <c r="D7" s="7">
        <f t="shared" si="0"/>
        <v>132504.321</v>
      </c>
      <c r="E7" s="7">
        <v>80578.792999999976</v>
      </c>
      <c r="F7" s="7">
        <v>39378.458999999966</v>
      </c>
      <c r="G7" s="7">
        <f t="shared" si="1"/>
        <v>119957.25199999995</v>
      </c>
      <c r="H7" s="8"/>
      <c r="I7" s="8"/>
      <c r="J7" s="9"/>
    </row>
    <row r="8" spans="1:10" x14ac:dyDescent="0.3">
      <c r="A8" s="10" t="s">
        <v>7</v>
      </c>
      <c r="B8" s="3">
        <v>75811.851999999999</v>
      </c>
      <c r="C8" s="3">
        <v>50819.539000000012</v>
      </c>
      <c r="D8" s="3">
        <f t="shared" si="0"/>
        <v>126631.391</v>
      </c>
      <c r="E8" s="3">
        <v>73173.000000000015</v>
      </c>
      <c r="F8" s="3">
        <v>60278.554999999986</v>
      </c>
      <c r="G8" s="3">
        <f t="shared" si="1"/>
        <v>133451.55499999999</v>
      </c>
      <c r="H8" s="4"/>
      <c r="I8" s="4"/>
      <c r="J8" s="5"/>
    </row>
    <row r="9" spans="1:10" x14ac:dyDescent="0.3">
      <c r="A9" s="6" t="s">
        <v>8</v>
      </c>
      <c r="B9" s="7">
        <v>64571.032000000007</v>
      </c>
      <c r="C9" s="7">
        <v>304159.50999999989</v>
      </c>
      <c r="D9" s="7">
        <f t="shared" si="0"/>
        <v>368730.5419999999</v>
      </c>
      <c r="E9" s="7">
        <v>60707.292999999976</v>
      </c>
      <c r="F9" s="7">
        <v>363787.74200000084</v>
      </c>
      <c r="G9" s="7">
        <f t="shared" si="1"/>
        <v>424495.03500000085</v>
      </c>
      <c r="H9" s="8"/>
      <c r="I9" s="8"/>
      <c r="J9" s="9"/>
    </row>
    <row r="10" spans="1:10" x14ac:dyDescent="0.3">
      <c r="A10" s="10" t="s">
        <v>51</v>
      </c>
      <c r="B10" s="3">
        <v>5276.1</v>
      </c>
      <c r="C10" s="3">
        <v>7291.4540000000025</v>
      </c>
      <c r="D10" s="3">
        <f t="shared" si="0"/>
        <v>12567.554000000004</v>
      </c>
      <c r="E10" s="3">
        <v>4301.4250000000011</v>
      </c>
      <c r="F10" s="3">
        <v>7112.4870000000037</v>
      </c>
      <c r="G10" s="3">
        <f t="shared" si="1"/>
        <v>11413.912000000004</v>
      </c>
      <c r="H10" s="4"/>
      <c r="I10" s="4"/>
      <c r="J10" s="5"/>
    </row>
    <row r="11" spans="1:10" x14ac:dyDescent="0.3">
      <c r="A11" s="6" t="s">
        <v>9</v>
      </c>
      <c r="B11" s="7">
        <v>13788.007999999998</v>
      </c>
      <c r="C11" s="7">
        <v>38473.44200000001</v>
      </c>
      <c r="D11" s="7">
        <f t="shared" si="0"/>
        <v>52261.450000000012</v>
      </c>
      <c r="E11" s="7">
        <v>13528.275</v>
      </c>
      <c r="F11" s="7">
        <v>43926.776999999929</v>
      </c>
      <c r="G11" s="7">
        <f t="shared" si="1"/>
        <v>57455.051999999931</v>
      </c>
      <c r="H11" s="8"/>
      <c r="I11" s="8"/>
      <c r="J11" s="9"/>
    </row>
    <row r="12" spans="1:10" x14ac:dyDescent="0.3">
      <c r="A12" s="10" t="s">
        <v>10</v>
      </c>
      <c r="B12" s="3">
        <v>21346.399000000001</v>
      </c>
      <c r="C12" s="3">
        <v>19760.273999999998</v>
      </c>
      <c r="D12" s="3">
        <f t="shared" si="0"/>
        <v>41106.672999999995</v>
      </c>
      <c r="E12" s="3">
        <v>20358.213000000003</v>
      </c>
      <c r="F12" s="3">
        <v>24757.300999999985</v>
      </c>
      <c r="G12" s="3">
        <f t="shared" si="1"/>
        <v>45115.513999999988</v>
      </c>
      <c r="H12" s="4"/>
      <c r="I12" s="4"/>
      <c r="J12" s="5"/>
    </row>
    <row r="13" spans="1:10" x14ac:dyDescent="0.3">
      <c r="A13" s="6" t="s">
        <v>11</v>
      </c>
      <c r="B13" s="7">
        <v>37160.866999999998</v>
      </c>
      <c r="C13" s="7">
        <v>10846.996000000001</v>
      </c>
      <c r="D13" s="7">
        <f t="shared" si="0"/>
        <v>48007.862999999998</v>
      </c>
      <c r="E13" s="7">
        <v>34059.066999999995</v>
      </c>
      <c r="F13" s="7">
        <v>12702.003999999994</v>
      </c>
      <c r="G13" s="7">
        <f t="shared" si="1"/>
        <v>46761.070999999989</v>
      </c>
      <c r="H13" s="8"/>
      <c r="I13" s="8"/>
      <c r="J13" s="9"/>
    </row>
    <row r="14" spans="1:10" x14ac:dyDescent="0.3">
      <c r="A14" s="10" t="s">
        <v>12</v>
      </c>
      <c r="B14" s="3">
        <v>30021.591999999997</v>
      </c>
      <c r="C14" s="3">
        <v>5357.7560000000003</v>
      </c>
      <c r="D14" s="3">
        <f t="shared" si="0"/>
        <v>35379.347999999998</v>
      </c>
      <c r="E14" s="3">
        <v>28256.57499999999</v>
      </c>
      <c r="F14" s="3">
        <v>7280.3869999999997</v>
      </c>
      <c r="G14" s="3">
        <f t="shared" si="1"/>
        <v>35536.961999999992</v>
      </c>
      <c r="H14" s="4"/>
      <c r="I14" s="4"/>
      <c r="J14" s="41"/>
    </row>
    <row r="15" spans="1:10" x14ac:dyDescent="0.3">
      <c r="A15" s="6" t="s">
        <v>13</v>
      </c>
      <c r="B15" s="7">
        <v>9474.8060000000005</v>
      </c>
      <c r="C15" s="7">
        <v>199.80099999999999</v>
      </c>
      <c r="D15" s="7">
        <f t="shared" si="0"/>
        <v>9674.607</v>
      </c>
      <c r="E15" s="7">
        <v>7742.1799999999985</v>
      </c>
      <c r="F15" s="7">
        <v>152.85500000000002</v>
      </c>
      <c r="G15" s="7">
        <f t="shared" si="1"/>
        <v>7895.034999999998</v>
      </c>
      <c r="H15" s="8"/>
      <c r="I15" s="8"/>
      <c r="J15" s="9"/>
    </row>
    <row r="16" spans="1:10" x14ac:dyDescent="0.3">
      <c r="A16" s="10" t="s">
        <v>14</v>
      </c>
      <c r="B16" s="3">
        <v>18520.607</v>
      </c>
      <c r="C16" s="3">
        <v>5629.3840000000009</v>
      </c>
      <c r="D16" s="3">
        <f t="shared" si="0"/>
        <v>24149.991000000002</v>
      </c>
      <c r="E16" s="3">
        <v>17618.457999999984</v>
      </c>
      <c r="F16" s="3">
        <v>6637.197000000001</v>
      </c>
      <c r="G16" s="3">
        <f t="shared" si="1"/>
        <v>24255.654999999984</v>
      </c>
      <c r="H16" s="4"/>
      <c r="I16" s="4"/>
      <c r="J16" s="41"/>
    </row>
    <row r="17" spans="1:10" x14ac:dyDescent="0.3">
      <c r="A17" s="6" t="s">
        <v>15</v>
      </c>
      <c r="B17" s="7">
        <v>2197.6080000000002</v>
      </c>
      <c r="C17" s="7">
        <v>71.605000000000004</v>
      </c>
      <c r="D17" s="7">
        <f t="shared" si="0"/>
        <v>2269.2130000000002</v>
      </c>
      <c r="E17" s="7">
        <v>2025.1950000000004</v>
      </c>
      <c r="F17" s="7">
        <v>31.529000000000003</v>
      </c>
      <c r="G17" s="7">
        <f t="shared" si="1"/>
        <v>2056.7240000000006</v>
      </c>
      <c r="H17" s="8"/>
      <c r="I17" s="8"/>
      <c r="J17" s="9"/>
    </row>
    <row r="18" spans="1:10" x14ac:dyDescent="0.3">
      <c r="A18" s="10" t="s">
        <v>16</v>
      </c>
      <c r="B18" s="3">
        <v>2883.0469999999996</v>
      </c>
      <c r="C18" s="3">
        <v>0</v>
      </c>
      <c r="D18" s="3">
        <f t="shared" si="0"/>
        <v>2883.0469999999996</v>
      </c>
      <c r="E18" s="3">
        <v>2854.0730000000017</v>
      </c>
      <c r="F18" s="3">
        <v>0</v>
      </c>
      <c r="G18" s="3">
        <f t="shared" si="1"/>
        <v>2854.0730000000017</v>
      </c>
      <c r="H18" s="4"/>
      <c r="I18" s="4"/>
      <c r="J18" s="5"/>
    </row>
    <row r="19" spans="1:10" x14ac:dyDescent="0.3">
      <c r="A19" s="6" t="s">
        <v>17</v>
      </c>
      <c r="B19" s="7">
        <v>1267.319</v>
      </c>
      <c r="C19" s="7">
        <v>200.07699999999997</v>
      </c>
      <c r="D19" s="7">
        <f t="shared" si="0"/>
        <v>1467.396</v>
      </c>
      <c r="E19" s="7">
        <v>1215.7890000000002</v>
      </c>
      <c r="F19" s="7">
        <v>155.36300000000003</v>
      </c>
      <c r="G19" s="7">
        <f t="shared" si="1"/>
        <v>1371.1520000000003</v>
      </c>
      <c r="H19" s="8"/>
      <c r="I19" s="8"/>
      <c r="J19" s="9"/>
    </row>
    <row r="20" spans="1:10" x14ac:dyDescent="0.3">
      <c r="A20" s="10" t="s">
        <v>52</v>
      </c>
      <c r="B20" s="3">
        <v>0</v>
      </c>
      <c r="C20" s="3">
        <v>0</v>
      </c>
      <c r="D20" s="3"/>
      <c r="E20" s="3"/>
      <c r="F20" s="3"/>
      <c r="G20" s="3"/>
      <c r="H20" s="4"/>
      <c r="I20" s="4"/>
      <c r="J20" s="5"/>
    </row>
    <row r="21" spans="1:10" x14ac:dyDescent="0.3">
      <c r="A21" s="6" t="s">
        <v>18</v>
      </c>
      <c r="B21" s="7">
        <v>3361.4580000000001</v>
      </c>
      <c r="C21" s="7">
        <v>243.006</v>
      </c>
      <c r="D21" s="7">
        <f t="shared" si="0"/>
        <v>3604.4639999999999</v>
      </c>
      <c r="E21" s="7">
        <v>2471.5470000000009</v>
      </c>
      <c r="F21" s="7">
        <v>97.957000000000008</v>
      </c>
      <c r="G21" s="7">
        <f t="shared" si="1"/>
        <v>2569.5040000000008</v>
      </c>
      <c r="H21" s="8"/>
      <c r="I21" s="8"/>
      <c r="J21" s="9"/>
    </row>
    <row r="22" spans="1:10" x14ac:dyDescent="0.3">
      <c r="A22" s="10" t="s">
        <v>19</v>
      </c>
      <c r="B22" s="3">
        <v>0</v>
      </c>
      <c r="C22" s="3">
        <v>0</v>
      </c>
      <c r="D22" s="3"/>
      <c r="E22" s="3"/>
      <c r="F22" s="3"/>
      <c r="G22" s="3"/>
      <c r="H22" s="4"/>
      <c r="I22" s="4"/>
      <c r="J22" s="5"/>
    </row>
    <row r="23" spans="1:10" x14ac:dyDescent="0.3">
      <c r="A23" s="6" t="s">
        <v>20</v>
      </c>
      <c r="B23" s="7">
        <v>5766.018</v>
      </c>
      <c r="C23" s="7">
        <v>79.621999999999986</v>
      </c>
      <c r="D23" s="7">
        <f t="shared" si="0"/>
        <v>5845.64</v>
      </c>
      <c r="E23" s="7">
        <v>4683.1570000000011</v>
      </c>
      <c r="F23" s="7">
        <v>36.931000000000004</v>
      </c>
      <c r="G23" s="7">
        <f t="shared" si="1"/>
        <v>4720.0880000000006</v>
      </c>
      <c r="H23" s="8"/>
      <c r="I23" s="8"/>
      <c r="J23" s="9"/>
    </row>
    <row r="24" spans="1:10" x14ac:dyDescent="0.3">
      <c r="A24" s="10" t="s">
        <v>21</v>
      </c>
      <c r="B24" s="3">
        <v>1947.5409999999999</v>
      </c>
      <c r="C24" s="3">
        <v>18.946000000000002</v>
      </c>
      <c r="D24" s="3">
        <f t="shared" si="0"/>
        <v>1966.4869999999999</v>
      </c>
      <c r="E24" s="3">
        <v>1757.2140000000004</v>
      </c>
      <c r="F24" s="3">
        <v>8.2270000000000003</v>
      </c>
      <c r="G24" s="3">
        <f t="shared" si="1"/>
        <v>1765.4410000000005</v>
      </c>
      <c r="H24" s="4"/>
      <c r="I24" s="4"/>
      <c r="J24" s="5"/>
    </row>
    <row r="25" spans="1:10" x14ac:dyDescent="0.3">
      <c r="A25" s="6" t="s">
        <v>22</v>
      </c>
      <c r="B25" s="7">
        <v>1999.9880000000001</v>
      </c>
      <c r="C25" s="7">
        <v>537.79300000000001</v>
      </c>
      <c r="D25" s="7">
        <f t="shared" si="0"/>
        <v>2537.7809999999999</v>
      </c>
      <c r="E25" s="7">
        <v>2293.5140000000001</v>
      </c>
      <c r="F25" s="7">
        <v>375.15700000000004</v>
      </c>
      <c r="G25" s="7">
        <f t="shared" si="1"/>
        <v>2668.6710000000003</v>
      </c>
      <c r="H25" s="8"/>
      <c r="I25" s="8"/>
      <c r="J25" s="9"/>
    </row>
    <row r="26" spans="1:10" x14ac:dyDescent="0.3">
      <c r="A26" s="10" t="s">
        <v>23</v>
      </c>
      <c r="B26" s="3">
        <v>1282.5969999999998</v>
      </c>
      <c r="C26" s="3">
        <v>116.60599999999999</v>
      </c>
      <c r="D26" s="3">
        <f t="shared" si="0"/>
        <v>1399.2029999999997</v>
      </c>
      <c r="E26" s="3">
        <v>913.58199999999965</v>
      </c>
      <c r="F26" s="3">
        <v>67.174999999999997</v>
      </c>
      <c r="G26" s="3">
        <f t="shared" si="1"/>
        <v>980.75699999999961</v>
      </c>
      <c r="H26" s="4"/>
      <c r="I26" s="4"/>
      <c r="J26" s="5"/>
    </row>
    <row r="27" spans="1:10" x14ac:dyDescent="0.3">
      <c r="A27" s="6" t="s">
        <v>24</v>
      </c>
      <c r="B27" s="7">
        <v>0</v>
      </c>
      <c r="C27" s="7">
        <v>0</v>
      </c>
      <c r="D27" s="7"/>
      <c r="E27" s="7"/>
      <c r="F27" s="7"/>
      <c r="G27" s="7">
        <f t="shared" si="1"/>
        <v>0</v>
      </c>
      <c r="H27" s="8"/>
      <c r="I27" s="8"/>
      <c r="J27" s="9"/>
    </row>
    <row r="28" spans="1:10" x14ac:dyDescent="0.3">
      <c r="A28" s="10" t="s">
        <v>25</v>
      </c>
      <c r="B28" s="3">
        <v>4106.2330000000002</v>
      </c>
      <c r="C28" s="3">
        <v>1610.9840000000004</v>
      </c>
      <c r="D28" s="3">
        <f t="shared" si="0"/>
        <v>5717.2170000000006</v>
      </c>
      <c r="E28" s="3">
        <v>4062.9310000000005</v>
      </c>
      <c r="F28" s="3">
        <v>2280.1139999999996</v>
      </c>
      <c r="G28" s="3">
        <f t="shared" si="1"/>
        <v>6343.0450000000001</v>
      </c>
      <c r="H28" s="4"/>
      <c r="I28" s="4"/>
      <c r="J28" s="5"/>
    </row>
    <row r="29" spans="1:10" x14ac:dyDescent="0.3">
      <c r="A29" s="6" t="s">
        <v>26</v>
      </c>
      <c r="B29" s="7">
        <v>14237.862000000001</v>
      </c>
      <c r="C29" s="7">
        <v>1153.9840000000002</v>
      </c>
      <c r="D29" s="7">
        <f t="shared" si="0"/>
        <v>15391.846000000001</v>
      </c>
      <c r="E29" s="7">
        <v>12611.896000000001</v>
      </c>
      <c r="F29" s="7">
        <v>1738.07</v>
      </c>
      <c r="G29" s="7">
        <f t="shared" si="1"/>
        <v>14349.966</v>
      </c>
      <c r="H29" s="8"/>
      <c r="I29" s="8"/>
      <c r="J29" s="9"/>
    </row>
    <row r="30" spans="1:10" x14ac:dyDescent="0.3">
      <c r="A30" s="10" t="s">
        <v>27</v>
      </c>
      <c r="B30" s="3">
        <v>8184.0489999999991</v>
      </c>
      <c r="C30" s="3">
        <v>908.70899999999995</v>
      </c>
      <c r="D30" s="3">
        <f t="shared" si="0"/>
        <v>9092.7579999999998</v>
      </c>
      <c r="E30" s="3">
        <v>7270.7230000000036</v>
      </c>
      <c r="F30" s="3">
        <v>1028.9819999999997</v>
      </c>
      <c r="G30" s="3">
        <f t="shared" si="1"/>
        <v>8299.7050000000036</v>
      </c>
      <c r="H30" s="4"/>
      <c r="I30" s="4"/>
      <c r="J30" s="5"/>
    </row>
    <row r="31" spans="1:10" x14ac:dyDescent="0.3">
      <c r="A31" s="6" t="s">
        <v>28</v>
      </c>
      <c r="B31" s="7">
        <v>3847.5210000000002</v>
      </c>
      <c r="C31" s="7">
        <v>10.579000000000001</v>
      </c>
      <c r="D31" s="7">
        <f t="shared" si="0"/>
        <v>3858.1000000000004</v>
      </c>
      <c r="E31" s="7">
        <v>3329.9450000000011</v>
      </c>
      <c r="F31" s="7">
        <v>20.242999999999999</v>
      </c>
      <c r="G31" s="7">
        <f t="shared" si="1"/>
        <v>3350.188000000001</v>
      </c>
      <c r="H31" s="8"/>
      <c r="I31" s="8"/>
      <c r="J31" s="9"/>
    </row>
    <row r="32" spans="1:10" x14ac:dyDescent="0.3">
      <c r="A32" s="10" t="s">
        <v>53</v>
      </c>
      <c r="B32" s="3">
        <v>8.3170000000000002</v>
      </c>
      <c r="C32" s="3">
        <v>2140.8469999999998</v>
      </c>
      <c r="D32" s="3">
        <f t="shared" si="0"/>
        <v>2149.1639999999998</v>
      </c>
      <c r="E32" s="3">
        <v>8.0540000000000003</v>
      </c>
      <c r="F32" s="3">
        <v>1911.1779999999999</v>
      </c>
      <c r="G32" s="3">
        <f t="shared" si="1"/>
        <v>1919.232</v>
      </c>
      <c r="H32" s="4"/>
      <c r="I32" s="4"/>
      <c r="J32" s="5"/>
    </row>
    <row r="33" spans="1:10" x14ac:dyDescent="0.3">
      <c r="A33" s="6" t="s">
        <v>61</v>
      </c>
      <c r="B33" s="7">
        <v>1838.93</v>
      </c>
      <c r="C33" s="7">
        <v>0</v>
      </c>
      <c r="D33" s="7">
        <f t="shared" si="0"/>
        <v>1838.93</v>
      </c>
      <c r="E33" s="7">
        <v>1886.3810000000001</v>
      </c>
      <c r="F33" s="7">
        <v>0</v>
      </c>
      <c r="G33" s="7">
        <f t="shared" si="1"/>
        <v>1886.3810000000001</v>
      </c>
      <c r="H33" s="8"/>
      <c r="I33" s="8"/>
      <c r="J33" s="9"/>
    </row>
    <row r="34" spans="1:10" x14ac:dyDescent="0.3">
      <c r="A34" s="10" t="s">
        <v>29</v>
      </c>
      <c r="B34" s="3">
        <v>9184.8320000000003</v>
      </c>
      <c r="C34" s="3">
        <v>4547.0069999999996</v>
      </c>
      <c r="D34" s="3">
        <f t="shared" si="0"/>
        <v>13731.839</v>
      </c>
      <c r="E34" s="3">
        <v>8733.9449999999997</v>
      </c>
      <c r="F34" s="3">
        <v>4225.6069999999991</v>
      </c>
      <c r="G34" s="3">
        <f t="shared" si="1"/>
        <v>12959.552</v>
      </c>
      <c r="H34" s="4"/>
      <c r="I34" s="4"/>
      <c r="J34" s="5"/>
    </row>
    <row r="35" spans="1:10" x14ac:dyDescent="0.3">
      <c r="A35" s="6" t="s">
        <v>60</v>
      </c>
      <c r="B35" s="7">
        <v>3016.8780000000006</v>
      </c>
      <c r="C35" s="7">
        <v>0</v>
      </c>
      <c r="D35" s="7">
        <f t="shared" si="0"/>
        <v>3016.8780000000006</v>
      </c>
      <c r="E35" s="7">
        <v>2681.4220000000014</v>
      </c>
      <c r="F35" s="7">
        <v>11.27</v>
      </c>
      <c r="G35" s="7">
        <f t="shared" si="1"/>
        <v>2692.6920000000014</v>
      </c>
      <c r="H35" s="8"/>
      <c r="I35" s="8"/>
      <c r="J35" s="9"/>
    </row>
    <row r="36" spans="1:10" x14ac:dyDescent="0.3">
      <c r="A36" s="10" t="s">
        <v>30</v>
      </c>
      <c r="B36" s="3">
        <v>682.44199999999989</v>
      </c>
      <c r="C36" s="3">
        <v>1382.922</v>
      </c>
      <c r="D36" s="3">
        <f t="shared" si="0"/>
        <v>2065.364</v>
      </c>
      <c r="E36" s="3">
        <v>623.62699999999973</v>
      </c>
      <c r="F36" s="3">
        <v>1178.3529999999998</v>
      </c>
      <c r="G36" s="3">
        <f t="shared" si="1"/>
        <v>1801.9799999999996</v>
      </c>
      <c r="H36" s="4"/>
      <c r="I36" s="4"/>
      <c r="J36" s="5"/>
    </row>
    <row r="37" spans="1:10" x14ac:dyDescent="0.3">
      <c r="A37" s="6" t="s">
        <v>31</v>
      </c>
      <c r="B37" s="7">
        <v>2632.0839999999998</v>
      </c>
      <c r="C37" s="7">
        <v>29.298999999999999</v>
      </c>
      <c r="D37" s="7">
        <f t="shared" si="0"/>
        <v>2661.3829999999998</v>
      </c>
      <c r="E37" s="7">
        <v>2195.7579999999998</v>
      </c>
      <c r="F37" s="7">
        <v>4.6129999999999995</v>
      </c>
      <c r="G37" s="7">
        <f t="shared" si="1"/>
        <v>2200.3709999999996</v>
      </c>
      <c r="H37" s="8"/>
      <c r="I37" s="8"/>
      <c r="J37" s="9"/>
    </row>
    <row r="38" spans="1:10" x14ac:dyDescent="0.3">
      <c r="A38" s="10" t="s">
        <v>32</v>
      </c>
      <c r="B38" s="3">
        <v>5148.3899999999994</v>
      </c>
      <c r="C38" s="3">
        <v>0</v>
      </c>
      <c r="D38" s="3">
        <f t="shared" si="0"/>
        <v>5148.3899999999994</v>
      </c>
      <c r="E38" s="3">
        <v>4751.4749999999976</v>
      </c>
      <c r="F38" s="3">
        <v>1.73</v>
      </c>
      <c r="G38" s="3">
        <f t="shared" si="1"/>
        <v>4753.2049999999972</v>
      </c>
      <c r="H38" s="4"/>
      <c r="I38" s="4"/>
      <c r="J38" s="5"/>
    </row>
    <row r="39" spans="1:10" x14ac:dyDescent="0.3">
      <c r="A39" s="6" t="s">
        <v>33</v>
      </c>
      <c r="B39" s="7">
        <v>603.61500000000012</v>
      </c>
      <c r="C39" s="7">
        <v>50.374000000000009</v>
      </c>
      <c r="D39" s="7">
        <f t="shared" si="0"/>
        <v>653.98900000000015</v>
      </c>
      <c r="E39" s="7">
        <v>427.40000000000009</v>
      </c>
      <c r="F39" s="7">
        <v>45.336999999999996</v>
      </c>
      <c r="G39" s="7">
        <f t="shared" si="1"/>
        <v>472.73700000000008</v>
      </c>
      <c r="H39" s="8"/>
      <c r="I39" s="8"/>
      <c r="J39" s="9"/>
    </row>
    <row r="40" spans="1:10" x14ac:dyDescent="0.3">
      <c r="A40" s="10" t="s">
        <v>34</v>
      </c>
      <c r="B40" s="3">
        <v>17072.510000000002</v>
      </c>
      <c r="C40" s="3">
        <v>7004.857</v>
      </c>
      <c r="D40" s="3">
        <f t="shared" si="0"/>
        <v>24077.367000000002</v>
      </c>
      <c r="E40" s="3">
        <v>19257.233000000011</v>
      </c>
      <c r="F40" s="3">
        <v>7362.8090000000038</v>
      </c>
      <c r="G40" s="3">
        <f t="shared" si="1"/>
        <v>26620.042000000016</v>
      </c>
      <c r="H40" s="4"/>
      <c r="I40" s="4"/>
      <c r="J40" s="5"/>
    </row>
    <row r="41" spans="1:10" x14ac:dyDescent="0.3">
      <c r="A41" s="6" t="s">
        <v>35</v>
      </c>
      <c r="B41" s="7">
        <v>442.46700000000004</v>
      </c>
      <c r="C41" s="7">
        <v>103.334</v>
      </c>
      <c r="D41" s="7">
        <f t="shared" si="0"/>
        <v>545.80100000000004</v>
      </c>
      <c r="E41" s="7">
        <v>475.96399999999994</v>
      </c>
      <c r="F41" s="7">
        <v>112.77599999999997</v>
      </c>
      <c r="G41" s="7">
        <f t="shared" si="1"/>
        <v>588.7399999999999</v>
      </c>
      <c r="H41" s="8"/>
      <c r="I41" s="8"/>
      <c r="J41" s="9"/>
    </row>
    <row r="42" spans="1:10" x14ac:dyDescent="0.3">
      <c r="A42" s="10" t="s">
        <v>36</v>
      </c>
      <c r="B42" s="3">
        <v>8131.8469999999998</v>
      </c>
      <c r="C42" s="3">
        <v>2559.8349999999991</v>
      </c>
      <c r="D42" s="3">
        <f t="shared" si="0"/>
        <v>10691.681999999999</v>
      </c>
      <c r="E42" s="3">
        <v>7114.4099999999989</v>
      </c>
      <c r="F42" s="3">
        <v>2744.8919999999985</v>
      </c>
      <c r="G42" s="3">
        <f t="shared" si="1"/>
        <v>9859.3019999999979</v>
      </c>
      <c r="H42" s="4"/>
      <c r="I42" s="4"/>
      <c r="J42" s="5"/>
    </row>
    <row r="43" spans="1:10" x14ac:dyDescent="0.3">
      <c r="A43" s="6" t="s">
        <v>37</v>
      </c>
      <c r="B43" s="7">
        <v>6884.780999999999</v>
      </c>
      <c r="C43" s="7">
        <v>264.81700000000001</v>
      </c>
      <c r="D43" s="7">
        <f t="shared" si="0"/>
        <v>7149.597999999999</v>
      </c>
      <c r="E43" s="7">
        <v>6114.3630000000039</v>
      </c>
      <c r="F43" s="7">
        <v>246.43499999999995</v>
      </c>
      <c r="G43" s="7">
        <f t="shared" si="1"/>
        <v>6360.7980000000043</v>
      </c>
      <c r="H43" s="8"/>
      <c r="I43" s="8"/>
      <c r="J43" s="9"/>
    </row>
    <row r="44" spans="1:10" x14ac:dyDescent="0.3">
      <c r="A44" s="10" t="s">
        <v>38</v>
      </c>
      <c r="B44" s="3">
        <v>6352.701</v>
      </c>
      <c r="C44" s="3">
        <v>85.777999999999992</v>
      </c>
      <c r="D44" s="3">
        <f t="shared" si="0"/>
        <v>6438.4790000000003</v>
      </c>
      <c r="E44" s="3">
        <v>5058.2199999999984</v>
      </c>
      <c r="F44" s="3">
        <v>59.822000000000003</v>
      </c>
      <c r="G44" s="3">
        <f t="shared" si="1"/>
        <v>5118.0419999999986</v>
      </c>
      <c r="H44" s="4"/>
      <c r="I44" s="4"/>
      <c r="J44" s="5"/>
    </row>
    <row r="45" spans="1:10" x14ac:dyDescent="0.3">
      <c r="A45" s="6" t="s">
        <v>63</v>
      </c>
      <c r="B45" s="7">
        <v>3913.3269999999998</v>
      </c>
      <c r="C45" s="7">
        <v>61.680999999999997</v>
      </c>
      <c r="D45" s="7">
        <f t="shared" si="0"/>
        <v>3975.0079999999998</v>
      </c>
      <c r="E45" s="7">
        <v>3449.3369999999991</v>
      </c>
      <c r="F45" s="7">
        <v>38.56</v>
      </c>
      <c r="G45" s="7">
        <f t="shared" si="1"/>
        <v>3487.896999999999</v>
      </c>
      <c r="H45" s="8"/>
      <c r="I45" s="8"/>
      <c r="J45" s="9"/>
    </row>
    <row r="46" spans="1:10" x14ac:dyDescent="0.3">
      <c r="A46" s="10" t="s">
        <v>39</v>
      </c>
      <c r="B46" s="3">
        <v>3875.0859999999998</v>
      </c>
      <c r="C46" s="3">
        <v>46.262</v>
      </c>
      <c r="D46" s="3">
        <f t="shared" si="0"/>
        <v>3921.348</v>
      </c>
      <c r="E46" s="3">
        <v>5101.5130000000017</v>
      </c>
      <c r="F46" s="3">
        <v>80.567000000000007</v>
      </c>
      <c r="G46" s="3">
        <f t="shared" si="1"/>
        <v>5182.0800000000017</v>
      </c>
      <c r="H46" s="4"/>
      <c r="I46" s="4"/>
      <c r="J46" s="5"/>
    </row>
    <row r="47" spans="1:10" x14ac:dyDescent="0.3">
      <c r="A47" s="6" t="s">
        <v>40</v>
      </c>
      <c r="B47" s="7">
        <v>7987.0319999999992</v>
      </c>
      <c r="C47" s="7">
        <v>419.67899999999997</v>
      </c>
      <c r="D47" s="7">
        <f t="shared" si="0"/>
        <v>8406.7109999999993</v>
      </c>
      <c r="E47" s="7">
        <v>7721.3289999999979</v>
      </c>
      <c r="F47" s="7">
        <v>558.93299999999999</v>
      </c>
      <c r="G47" s="7">
        <f t="shared" si="1"/>
        <v>8280.2619999999988</v>
      </c>
      <c r="H47" s="8"/>
      <c r="I47" s="8"/>
      <c r="J47" s="9"/>
    </row>
    <row r="48" spans="1:10" x14ac:dyDescent="0.3">
      <c r="A48" s="10" t="s">
        <v>41</v>
      </c>
      <c r="B48" s="3">
        <v>12233.299000000001</v>
      </c>
      <c r="C48" s="3">
        <v>2501.9259999999999</v>
      </c>
      <c r="D48" s="3">
        <f t="shared" si="0"/>
        <v>14735.225</v>
      </c>
      <c r="E48" s="3">
        <v>10789.227000000001</v>
      </c>
      <c r="F48" s="3">
        <v>3188.5129999999995</v>
      </c>
      <c r="G48" s="3">
        <f t="shared" si="1"/>
        <v>13977.74</v>
      </c>
      <c r="H48" s="4"/>
      <c r="I48" s="4"/>
      <c r="J48" s="5"/>
    </row>
    <row r="49" spans="1:10" x14ac:dyDescent="0.3">
      <c r="A49" s="6" t="s">
        <v>42</v>
      </c>
      <c r="B49" s="7">
        <v>0</v>
      </c>
      <c r="C49" s="7">
        <v>0</v>
      </c>
      <c r="D49" s="7">
        <f t="shared" si="0"/>
        <v>0</v>
      </c>
      <c r="E49" s="7">
        <v>353.89400000000006</v>
      </c>
      <c r="F49" s="7">
        <v>0</v>
      </c>
      <c r="G49" s="7">
        <f t="shared" si="1"/>
        <v>353.89400000000006</v>
      </c>
      <c r="H49" s="8"/>
      <c r="I49" s="8"/>
      <c r="J49" s="9"/>
    </row>
    <row r="50" spans="1:10" x14ac:dyDescent="0.3">
      <c r="A50" s="10" t="s">
        <v>43</v>
      </c>
      <c r="B50" s="3">
        <v>1356.806</v>
      </c>
      <c r="C50" s="3">
        <v>8.8460000000000001</v>
      </c>
      <c r="D50" s="3">
        <f t="shared" si="0"/>
        <v>1365.652</v>
      </c>
      <c r="E50" s="3">
        <v>1105.6970000000001</v>
      </c>
      <c r="F50" s="3">
        <v>6.4419999999999993</v>
      </c>
      <c r="G50" s="3">
        <f t="shared" si="1"/>
        <v>1112.1390000000001</v>
      </c>
      <c r="H50" s="4"/>
      <c r="I50" s="4"/>
      <c r="J50" s="5"/>
    </row>
    <row r="51" spans="1:10" x14ac:dyDescent="0.3">
      <c r="A51" s="6" t="s">
        <v>44</v>
      </c>
      <c r="B51" s="7">
        <v>4513.6419999999998</v>
      </c>
      <c r="C51" s="7">
        <v>153.09399999999997</v>
      </c>
      <c r="D51" s="7">
        <f t="shared" si="0"/>
        <v>4666.7359999999999</v>
      </c>
      <c r="E51" s="7">
        <v>4022.3339999999989</v>
      </c>
      <c r="F51" s="7">
        <v>101.121</v>
      </c>
      <c r="G51" s="7">
        <f t="shared" si="1"/>
        <v>4123.454999999999</v>
      </c>
      <c r="H51" s="8"/>
      <c r="I51" s="8"/>
      <c r="J51" s="9"/>
    </row>
    <row r="52" spans="1:10" x14ac:dyDescent="0.3">
      <c r="A52" s="10" t="s">
        <v>45</v>
      </c>
      <c r="B52" s="3">
        <v>5684.7759999999998</v>
      </c>
      <c r="C52" s="3">
        <v>495.55599999999998</v>
      </c>
      <c r="D52" s="3">
        <f t="shared" si="0"/>
        <v>6180.3319999999994</v>
      </c>
      <c r="E52" s="3">
        <v>5271.9099999999989</v>
      </c>
      <c r="F52" s="3">
        <v>368.09000000000009</v>
      </c>
      <c r="G52" s="3">
        <f t="shared" si="1"/>
        <v>5639.9999999999991</v>
      </c>
      <c r="H52" s="4"/>
      <c r="I52" s="4"/>
      <c r="J52" s="5"/>
    </row>
    <row r="53" spans="1:10" x14ac:dyDescent="0.3">
      <c r="A53" s="6" t="s">
        <v>46</v>
      </c>
      <c r="B53" s="7">
        <v>4047.83</v>
      </c>
      <c r="C53" s="7">
        <v>0</v>
      </c>
      <c r="D53" s="7">
        <f t="shared" si="0"/>
        <v>4047.83</v>
      </c>
      <c r="E53" s="7">
        <v>3364.0810000000006</v>
      </c>
      <c r="F53" s="7">
        <v>0</v>
      </c>
      <c r="G53" s="7">
        <f t="shared" si="1"/>
        <v>3364.0810000000006</v>
      </c>
      <c r="H53" s="8"/>
      <c r="I53" s="8"/>
      <c r="J53" s="9"/>
    </row>
    <row r="54" spans="1:10" x14ac:dyDescent="0.3">
      <c r="A54" s="10" t="s">
        <v>64</v>
      </c>
      <c r="B54" s="3">
        <v>599.11800000000005</v>
      </c>
      <c r="C54" s="3">
        <v>1255.306</v>
      </c>
      <c r="D54" s="3">
        <f t="shared" si="0"/>
        <v>1854.424</v>
      </c>
      <c r="E54" s="3">
        <v>454.33599999999996</v>
      </c>
      <c r="F54" s="3">
        <v>782.65499999999997</v>
      </c>
      <c r="G54" s="3">
        <f t="shared" si="1"/>
        <v>1236.991</v>
      </c>
      <c r="H54" s="4"/>
      <c r="I54" s="4"/>
      <c r="J54" s="5"/>
    </row>
    <row r="55" spans="1:10" x14ac:dyDescent="0.3">
      <c r="A55" s="6" t="s">
        <v>47</v>
      </c>
      <c r="B55" s="7">
        <v>0</v>
      </c>
      <c r="C55" s="7">
        <v>0</v>
      </c>
      <c r="D55" s="7">
        <f t="shared" si="0"/>
        <v>0</v>
      </c>
      <c r="E55" s="7"/>
      <c r="F55" s="7"/>
      <c r="G55" s="7">
        <f t="shared" si="1"/>
        <v>0</v>
      </c>
      <c r="H55" s="8"/>
      <c r="I55" s="8"/>
      <c r="J55" s="9"/>
    </row>
    <row r="56" spans="1:10" x14ac:dyDescent="0.3">
      <c r="A56" s="10" t="s">
        <v>48</v>
      </c>
      <c r="B56" s="3">
        <v>145.72199999999998</v>
      </c>
      <c r="C56" s="3">
        <v>3.7160000000000002</v>
      </c>
      <c r="D56" s="3">
        <f t="shared" si="0"/>
        <v>149.43799999999999</v>
      </c>
      <c r="E56" s="3">
        <v>197.04499999999996</v>
      </c>
      <c r="F56" s="3">
        <v>11.763999999999999</v>
      </c>
      <c r="G56" s="3">
        <f>+E56+F56</f>
        <v>208.80899999999997</v>
      </c>
      <c r="H56" s="4"/>
      <c r="I56" s="4"/>
      <c r="J56" s="41"/>
    </row>
    <row r="57" spans="1:10" x14ac:dyDescent="0.3">
      <c r="A57" s="6" t="s">
        <v>49</v>
      </c>
      <c r="B57" s="7">
        <v>12442.700999999997</v>
      </c>
      <c r="C57" s="7">
        <v>95.132000000000005</v>
      </c>
      <c r="D57" s="7">
        <f t="shared" si="0"/>
        <v>12537.832999999997</v>
      </c>
      <c r="E57" s="7">
        <v>11947.301000000001</v>
      </c>
      <c r="F57" s="7">
        <v>97.030000000000015</v>
      </c>
      <c r="G57" s="7">
        <f t="shared" si="1"/>
        <v>12044.331000000002</v>
      </c>
      <c r="H57" s="8"/>
      <c r="I57" s="8"/>
      <c r="J57" s="9"/>
    </row>
    <row r="58" spans="1:10" x14ac:dyDescent="0.3">
      <c r="A58" s="10" t="s">
        <v>54</v>
      </c>
      <c r="B58" s="3">
        <v>591.08600000000001</v>
      </c>
      <c r="C58" s="3">
        <v>605.28</v>
      </c>
      <c r="D58" s="3">
        <f t="shared" si="0"/>
        <v>1196.366</v>
      </c>
      <c r="E58" s="3">
        <v>486.13900000000001</v>
      </c>
      <c r="F58" s="3">
        <v>533.79200000000003</v>
      </c>
      <c r="G58" s="3">
        <f t="shared" si="1"/>
        <v>1019.931</v>
      </c>
      <c r="H58" s="4"/>
      <c r="I58" s="4"/>
      <c r="J58" s="5"/>
    </row>
    <row r="59" spans="1:10" x14ac:dyDescent="0.3">
      <c r="A59" s="6" t="s">
        <v>55</v>
      </c>
      <c r="B59" s="7">
        <v>0</v>
      </c>
      <c r="C59" s="7">
        <v>537.38800000000003</v>
      </c>
      <c r="D59" s="7">
        <f t="shared" si="0"/>
        <v>537.38800000000003</v>
      </c>
      <c r="E59" s="7">
        <v>158.55699999999996</v>
      </c>
      <c r="F59" s="7">
        <v>162.96800000000002</v>
      </c>
      <c r="G59" s="7">
        <f t="shared" si="1"/>
        <v>321.52499999999998</v>
      </c>
      <c r="H59" s="8"/>
      <c r="I59" s="8"/>
      <c r="J59" s="9"/>
    </row>
    <row r="60" spans="1:10" x14ac:dyDescent="0.3">
      <c r="A60" s="11"/>
      <c r="B60" s="22"/>
      <c r="C60" s="22"/>
      <c r="D60" s="22"/>
      <c r="E60" s="22"/>
      <c r="F60" s="22"/>
      <c r="G60" s="22"/>
      <c r="H60" s="23"/>
      <c r="I60" s="23"/>
      <c r="J60" s="23"/>
    </row>
    <row r="61" spans="1:10" x14ac:dyDescent="0.3">
      <c r="A61" s="14"/>
      <c r="B61" s="24"/>
      <c r="C61" s="24"/>
      <c r="D61" s="24"/>
      <c r="E61" s="24"/>
      <c r="F61" s="24"/>
      <c r="G61" s="24"/>
      <c r="H61" s="25"/>
      <c r="I61" s="25"/>
      <c r="J61" s="25"/>
    </row>
    <row r="62" spans="1:10" x14ac:dyDescent="0.3">
      <c r="A62" s="26"/>
      <c r="B62" s="27"/>
      <c r="C62" s="27"/>
      <c r="D62" s="27"/>
      <c r="E62" s="27"/>
      <c r="F62" s="27"/>
      <c r="G62" s="27"/>
      <c r="H62" s="27"/>
      <c r="I62" s="27"/>
      <c r="J62" s="28"/>
    </row>
    <row r="63" spans="1:10" x14ac:dyDescent="0.3">
      <c r="A63" s="26" t="s">
        <v>59</v>
      </c>
      <c r="B63" s="27"/>
      <c r="C63" s="27"/>
      <c r="D63" s="27"/>
      <c r="E63" s="27"/>
      <c r="F63" s="27"/>
      <c r="G63" s="27"/>
      <c r="H63" s="27"/>
      <c r="I63" s="27"/>
      <c r="J63" s="28"/>
    </row>
    <row r="64" spans="1:10" ht="15" thickBot="1" x14ac:dyDescent="0.35">
      <c r="A64" s="29"/>
      <c r="B64" s="30"/>
      <c r="C64" s="30"/>
      <c r="D64" s="30"/>
      <c r="E64" s="30"/>
      <c r="F64" s="30"/>
      <c r="G64" s="30"/>
      <c r="H64" s="30"/>
      <c r="I64" s="30"/>
      <c r="J64" s="31"/>
    </row>
    <row r="65" spans="1:10" ht="45.75" customHeight="1" x14ac:dyDescent="0.3">
      <c r="A65" s="51"/>
      <c r="B65" s="51"/>
      <c r="C65" s="51"/>
      <c r="D65" s="51"/>
      <c r="E65" s="51"/>
      <c r="F65" s="51"/>
      <c r="G65" s="51"/>
      <c r="H65" s="51"/>
      <c r="I65" s="51"/>
      <c r="J65" s="51"/>
    </row>
    <row r="66" spans="1:10" x14ac:dyDescent="0.3">
      <c r="B66" s="37"/>
      <c r="C66" s="37"/>
      <c r="D66" s="37"/>
      <c r="E66" s="37"/>
      <c r="F66" s="37"/>
      <c r="G66" s="37"/>
    </row>
    <row r="67" spans="1:10" x14ac:dyDescent="0.3">
      <c r="B67" s="37"/>
      <c r="C67" s="37"/>
      <c r="D67" s="37"/>
      <c r="E67" s="37"/>
      <c r="F67" s="37"/>
      <c r="G67" s="37"/>
    </row>
    <row r="68" spans="1:10" x14ac:dyDescent="0.3">
      <c r="B68" s="37"/>
      <c r="C68" s="37"/>
      <c r="D68" s="37"/>
      <c r="E68" s="37"/>
      <c r="F68" s="37"/>
      <c r="G68" s="37"/>
    </row>
  </sheetData>
  <mergeCells count="5">
    <mergeCell ref="A1:J1"/>
    <mergeCell ref="A2:A3"/>
    <mergeCell ref="B2:D2"/>
    <mergeCell ref="E2:G2"/>
    <mergeCell ref="H2:J2"/>
  </mergeCells>
  <conditionalFormatting sqref="B4:J59">
    <cfRule type="cellIs" dxfId="1" priority="1" operator="equal">
      <formula>0</formula>
    </cfRule>
  </conditionalFormatting>
  <printOptions horizontalCentered="1" verticalCentered="1"/>
  <pageMargins left="0.70866141732283472" right="0.70866141732283472" top="0.74803149606299213" bottom="0.74803149606299213" header="0.31496062992125984" footer="0.31496062992125984"/>
  <pageSetup paperSize="9" scale="53" orientation="portrait" verticalDpi="597" r:id="rId1"/>
  <ignoredErrors>
    <ignoredError sqref="G56 D5 G5" formula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K69"/>
  <sheetViews>
    <sheetView tabSelected="1" zoomScale="80" zoomScaleNormal="80" workbookViewId="0">
      <selection activeCell="E16" sqref="E16"/>
    </sheetView>
  </sheetViews>
  <sheetFormatPr defaultRowHeight="14.4" x14ac:dyDescent="0.3"/>
  <cols>
    <col min="1" max="1" width="27.5546875" customWidth="1"/>
    <col min="2" max="10" width="14.33203125" customWidth="1"/>
  </cols>
  <sheetData>
    <row r="1" spans="1:11" ht="18" customHeight="1" x14ac:dyDescent="0.3">
      <c r="A1" s="53" t="s">
        <v>67</v>
      </c>
      <c r="B1" s="54"/>
      <c r="C1" s="54"/>
      <c r="D1" s="54"/>
      <c r="E1" s="54"/>
      <c r="F1" s="54"/>
      <c r="G1" s="54"/>
      <c r="H1" s="54"/>
      <c r="I1" s="54"/>
      <c r="J1" s="55"/>
    </row>
    <row r="2" spans="1:11" ht="30" customHeight="1" x14ac:dyDescent="0.3">
      <c r="A2" s="56" t="s">
        <v>1</v>
      </c>
      <c r="B2" s="58" t="s">
        <v>65</v>
      </c>
      <c r="C2" s="58"/>
      <c r="D2" s="58"/>
      <c r="E2" s="58" t="s">
        <v>66</v>
      </c>
      <c r="F2" s="58"/>
      <c r="G2" s="58"/>
      <c r="H2" s="59"/>
      <c r="I2" s="59"/>
      <c r="J2" s="60"/>
    </row>
    <row r="3" spans="1:11" x14ac:dyDescent="0.3">
      <c r="A3" s="57"/>
      <c r="B3" s="1" t="s">
        <v>2</v>
      </c>
      <c r="C3" s="1" t="s">
        <v>3</v>
      </c>
      <c r="D3" s="1" t="s">
        <v>4</v>
      </c>
      <c r="E3" s="1" t="s">
        <v>2</v>
      </c>
      <c r="F3" s="1" t="s">
        <v>3</v>
      </c>
      <c r="G3" s="1" t="s">
        <v>4</v>
      </c>
      <c r="H3" s="1"/>
      <c r="I3" s="1"/>
      <c r="J3" s="2"/>
    </row>
    <row r="4" spans="1:11" x14ac:dyDescent="0.3">
      <c r="A4" s="42" t="s">
        <v>5</v>
      </c>
      <c r="B4" s="3">
        <v>18516.976000000013</v>
      </c>
      <c r="C4" s="3">
        <v>1262669.18</v>
      </c>
      <c r="D4" s="3">
        <f>SUM(B4:C4)</f>
        <v>1281186.156</v>
      </c>
      <c r="E4" s="3">
        <v>8662.3270000000011</v>
      </c>
      <c r="F4" s="3">
        <v>816832.51899999927</v>
      </c>
      <c r="G4" s="3">
        <f>SUM(E4:F4)</f>
        <v>825494.84599999932</v>
      </c>
      <c r="H4" s="4"/>
      <c r="I4" s="4"/>
      <c r="J4" s="4"/>
      <c r="K4" s="36"/>
    </row>
    <row r="5" spans="1:11" x14ac:dyDescent="0.3">
      <c r="A5" s="6" t="s">
        <v>62</v>
      </c>
      <c r="B5" s="7"/>
      <c r="C5" s="7"/>
      <c r="D5" s="7"/>
      <c r="E5" s="7">
        <v>15813.618999999999</v>
      </c>
      <c r="F5" s="7">
        <v>575148.54500000062</v>
      </c>
      <c r="G5" s="7">
        <f>+E5+F5</f>
        <v>590962.16400000057</v>
      </c>
      <c r="H5" s="8"/>
      <c r="I5" s="8"/>
      <c r="J5" s="9"/>
    </row>
    <row r="6" spans="1:11" x14ac:dyDescent="0.3">
      <c r="A6" s="10" t="s">
        <v>50</v>
      </c>
      <c r="B6" s="3">
        <v>6558.6350000000002</v>
      </c>
      <c r="C6" s="3">
        <v>63852.086000000061</v>
      </c>
      <c r="D6" s="3">
        <f t="shared" ref="D6:D58" si="0">SUM(B6:C6)</f>
        <v>70410.721000000063</v>
      </c>
      <c r="E6" s="3">
        <v>8004.0040000000035</v>
      </c>
      <c r="F6" s="3">
        <v>52044.241999999991</v>
      </c>
      <c r="G6" s="3">
        <f t="shared" ref="G6:G58" si="1">SUM(E6:F6)</f>
        <v>60048.245999999992</v>
      </c>
      <c r="H6" s="4"/>
      <c r="I6" s="4"/>
      <c r="J6" s="5"/>
    </row>
    <row r="7" spans="1:11" x14ac:dyDescent="0.3">
      <c r="A7" s="6" t="s">
        <v>6</v>
      </c>
      <c r="B7" s="7">
        <v>9070.8230000000021</v>
      </c>
      <c r="C7" s="7">
        <v>1611.8100000000002</v>
      </c>
      <c r="D7" s="7">
        <f t="shared" si="0"/>
        <v>10682.633000000002</v>
      </c>
      <c r="E7" s="7">
        <v>8543.6909999999989</v>
      </c>
      <c r="F7" s="7">
        <v>3309.5330000000008</v>
      </c>
      <c r="G7" s="7">
        <f t="shared" si="1"/>
        <v>11853.224</v>
      </c>
      <c r="H7" s="8"/>
      <c r="I7" s="8"/>
      <c r="J7" s="9"/>
    </row>
    <row r="8" spans="1:11" x14ac:dyDescent="0.3">
      <c r="A8" s="10" t="s">
        <v>7</v>
      </c>
      <c r="B8" s="3">
        <v>7459.4719999999988</v>
      </c>
      <c r="C8" s="3">
        <v>4429.1909999999998</v>
      </c>
      <c r="D8" s="3">
        <f t="shared" si="0"/>
        <v>11888.662999999999</v>
      </c>
      <c r="E8" s="3">
        <v>11774.744000000006</v>
      </c>
      <c r="F8" s="3">
        <v>5140.3100000000004</v>
      </c>
      <c r="G8" s="3">
        <f t="shared" si="1"/>
        <v>16915.054000000007</v>
      </c>
      <c r="H8" s="4"/>
      <c r="I8" s="4"/>
      <c r="J8" s="5"/>
    </row>
    <row r="9" spans="1:11" x14ac:dyDescent="0.3">
      <c r="A9" s="6" t="s">
        <v>8</v>
      </c>
      <c r="B9" s="7">
        <v>3886.1629999999996</v>
      </c>
      <c r="C9" s="7">
        <v>2270.5319999999988</v>
      </c>
      <c r="D9" s="7">
        <f t="shared" si="0"/>
        <v>6156.6949999999979</v>
      </c>
      <c r="E9" s="7">
        <v>4625.9840000000013</v>
      </c>
      <c r="F9" s="7">
        <v>3078.5580000000045</v>
      </c>
      <c r="G9" s="7">
        <f t="shared" si="1"/>
        <v>7704.5420000000058</v>
      </c>
      <c r="H9" s="8"/>
      <c r="I9" s="8"/>
      <c r="J9" s="9"/>
    </row>
    <row r="10" spans="1:11" x14ac:dyDescent="0.3">
      <c r="A10" s="10" t="s">
        <v>51</v>
      </c>
      <c r="B10" s="44">
        <v>9.2000000000000012E-2</v>
      </c>
      <c r="C10" s="3"/>
      <c r="D10" s="44">
        <f t="shared" si="0"/>
        <v>9.2000000000000012E-2</v>
      </c>
      <c r="E10" s="44">
        <v>0.19500000000000003</v>
      </c>
      <c r="F10" s="3">
        <v>0</v>
      </c>
      <c r="G10" s="44">
        <f t="shared" si="1"/>
        <v>0.19500000000000003</v>
      </c>
      <c r="H10" s="4"/>
      <c r="I10" s="4"/>
      <c r="J10" s="5"/>
    </row>
    <row r="11" spans="1:11" x14ac:dyDescent="0.3">
      <c r="A11" s="6" t="s">
        <v>9</v>
      </c>
      <c r="B11" s="7">
        <v>35.787000000000006</v>
      </c>
      <c r="C11" s="45">
        <v>0.32</v>
      </c>
      <c r="D11" s="7">
        <f t="shared" si="0"/>
        <v>36.107000000000006</v>
      </c>
      <c r="E11" s="7">
        <v>24.538000000000004</v>
      </c>
      <c r="F11" s="45">
        <v>8.299999999999999E-2</v>
      </c>
      <c r="G11" s="7">
        <f t="shared" si="1"/>
        <v>24.621000000000002</v>
      </c>
      <c r="H11" s="8"/>
      <c r="I11" s="8"/>
      <c r="J11" s="9"/>
    </row>
    <row r="12" spans="1:11" x14ac:dyDescent="0.3">
      <c r="A12" s="10" t="s">
        <v>10</v>
      </c>
      <c r="B12" s="3">
        <v>43.715000000000018</v>
      </c>
      <c r="C12" s="44">
        <v>0</v>
      </c>
      <c r="D12" s="3">
        <f t="shared" si="0"/>
        <v>43.715000000000018</v>
      </c>
      <c r="E12" s="3">
        <v>53.03</v>
      </c>
      <c r="F12" s="44">
        <v>5.8000000000000003E-2</v>
      </c>
      <c r="G12" s="3">
        <f t="shared" si="1"/>
        <v>53.088000000000001</v>
      </c>
      <c r="H12" s="4"/>
      <c r="I12" s="4"/>
      <c r="J12" s="5"/>
    </row>
    <row r="13" spans="1:11" x14ac:dyDescent="0.3">
      <c r="A13" s="6" t="s">
        <v>11</v>
      </c>
      <c r="B13" s="7">
        <v>3050.9299999999994</v>
      </c>
      <c r="C13" s="7">
        <v>126.453</v>
      </c>
      <c r="D13" s="7">
        <f t="shared" si="0"/>
        <v>3177.3829999999994</v>
      </c>
      <c r="E13" s="7">
        <v>2883.9560000000006</v>
      </c>
      <c r="F13" s="7">
        <v>708.95299999999963</v>
      </c>
      <c r="G13" s="7">
        <f>+E13+F13</f>
        <v>3592.9090000000001</v>
      </c>
      <c r="H13" s="8"/>
      <c r="I13" s="8"/>
      <c r="J13" s="9"/>
    </row>
    <row r="14" spans="1:11" x14ac:dyDescent="0.3">
      <c r="A14" s="10" t="s">
        <v>12</v>
      </c>
      <c r="B14" s="3">
        <v>391.15100000000007</v>
      </c>
      <c r="C14" s="3">
        <v>2.1560000000000001</v>
      </c>
      <c r="D14" s="3">
        <f t="shared" si="0"/>
        <v>393.30700000000007</v>
      </c>
      <c r="E14" s="3">
        <v>751.22399999999993</v>
      </c>
      <c r="F14" s="44">
        <v>2.4</v>
      </c>
      <c r="G14" s="3">
        <f t="shared" si="1"/>
        <v>753.62399999999991</v>
      </c>
      <c r="H14" s="4"/>
      <c r="I14" s="4"/>
      <c r="J14" s="5"/>
    </row>
    <row r="15" spans="1:11" x14ac:dyDescent="0.3">
      <c r="A15" s="6" t="s">
        <v>13</v>
      </c>
      <c r="B15" s="7">
        <v>55.230000000000011</v>
      </c>
      <c r="C15" s="7">
        <v>0</v>
      </c>
      <c r="D15" s="7">
        <f t="shared" si="0"/>
        <v>55.230000000000011</v>
      </c>
      <c r="E15" s="7">
        <v>190.078</v>
      </c>
      <c r="F15" s="7">
        <v>0</v>
      </c>
      <c r="G15" s="7">
        <f t="shared" si="1"/>
        <v>190.078</v>
      </c>
      <c r="H15" s="8"/>
      <c r="I15" s="8"/>
      <c r="J15" s="9"/>
    </row>
    <row r="16" spans="1:11" x14ac:dyDescent="0.3">
      <c r="A16" s="10" t="s">
        <v>14</v>
      </c>
      <c r="B16" s="3">
        <v>1037.2870000000003</v>
      </c>
      <c r="C16" s="3">
        <v>8.4589999999999979</v>
      </c>
      <c r="D16" s="3">
        <f t="shared" si="0"/>
        <v>1045.7460000000003</v>
      </c>
      <c r="E16" s="3">
        <v>779.05999999999983</v>
      </c>
      <c r="F16" s="3">
        <v>2.3009999999999997</v>
      </c>
      <c r="G16" s="3">
        <f t="shared" si="1"/>
        <v>781.36099999999988</v>
      </c>
      <c r="H16" s="4"/>
      <c r="I16" s="4"/>
      <c r="J16" s="5"/>
    </row>
    <row r="17" spans="1:10" x14ac:dyDescent="0.3">
      <c r="A17" s="6" t="s">
        <v>15</v>
      </c>
      <c r="B17" s="7">
        <v>50.140999999999998</v>
      </c>
      <c r="C17" s="7">
        <v>0</v>
      </c>
      <c r="D17" s="7">
        <f t="shared" si="0"/>
        <v>50.140999999999998</v>
      </c>
      <c r="E17" s="7">
        <v>64.221000000000004</v>
      </c>
      <c r="F17" s="7">
        <v>0</v>
      </c>
      <c r="G17" s="7">
        <f t="shared" si="1"/>
        <v>64.221000000000004</v>
      </c>
      <c r="H17" s="8"/>
      <c r="I17" s="8"/>
      <c r="J17" s="9"/>
    </row>
    <row r="18" spans="1:10" x14ac:dyDescent="0.3">
      <c r="A18" s="10" t="s">
        <v>16</v>
      </c>
      <c r="B18" s="3">
        <v>2.5919999999999996</v>
      </c>
      <c r="C18" s="3">
        <v>0</v>
      </c>
      <c r="D18" s="3">
        <f t="shared" si="0"/>
        <v>2.5919999999999996</v>
      </c>
      <c r="E18" s="3">
        <v>4.0679999999999996</v>
      </c>
      <c r="F18" s="3">
        <v>0</v>
      </c>
      <c r="G18" s="3">
        <f t="shared" si="1"/>
        <v>4.0679999999999996</v>
      </c>
      <c r="H18" s="4"/>
      <c r="I18" s="4"/>
      <c r="J18" s="5"/>
    </row>
    <row r="19" spans="1:10" x14ac:dyDescent="0.3">
      <c r="A19" s="6" t="s">
        <v>17</v>
      </c>
      <c r="B19" s="7">
        <v>1.0840000000000001</v>
      </c>
      <c r="C19" s="46">
        <v>0</v>
      </c>
      <c r="D19" s="7">
        <f t="shared" si="0"/>
        <v>1.0840000000000001</v>
      </c>
      <c r="E19" s="7">
        <v>17.679000000000002</v>
      </c>
      <c r="F19" s="46">
        <v>1E-3</v>
      </c>
      <c r="G19" s="7">
        <f t="shared" si="1"/>
        <v>17.680000000000003</v>
      </c>
      <c r="H19" s="8"/>
      <c r="I19" s="8"/>
      <c r="J19" s="9"/>
    </row>
    <row r="20" spans="1:10" x14ac:dyDescent="0.3">
      <c r="A20" s="10" t="s">
        <v>52</v>
      </c>
      <c r="B20" s="3"/>
      <c r="C20" s="3"/>
      <c r="D20" s="3"/>
      <c r="E20" s="3"/>
      <c r="F20" s="3"/>
      <c r="G20" s="3"/>
      <c r="H20" s="4"/>
      <c r="I20" s="4"/>
      <c r="J20" s="5"/>
    </row>
    <row r="21" spans="1:10" x14ac:dyDescent="0.3">
      <c r="A21" s="6" t="s">
        <v>18</v>
      </c>
      <c r="B21" s="7">
        <v>0.56799999999999995</v>
      </c>
      <c r="C21" s="7">
        <v>0</v>
      </c>
      <c r="D21" s="45">
        <f t="shared" si="0"/>
        <v>0.56799999999999995</v>
      </c>
      <c r="E21" s="7">
        <v>0.73599999999999999</v>
      </c>
      <c r="F21" s="7">
        <v>0</v>
      </c>
      <c r="G21" s="7">
        <f t="shared" si="1"/>
        <v>0.73599999999999999</v>
      </c>
      <c r="H21" s="8"/>
      <c r="I21" s="8"/>
      <c r="J21" s="9"/>
    </row>
    <row r="22" spans="1:10" x14ac:dyDescent="0.3">
      <c r="A22" s="10" t="s">
        <v>19</v>
      </c>
      <c r="B22" s="3"/>
      <c r="C22" s="3"/>
      <c r="D22" s="3"/>
      <c r="E22" s="3"/>
      <c r="F22" s="3"/>
      <c r="G22" s="3"/>
      <c r="H22" s="4"/>
      <c r="I22" s="4"/>
      <c r="J22" s="5"/>
    </row>
    <row r="23" spans="1:10" x14ac:dyDescent="0.3">
      <c r="A23" s="6" t="s">
        <v>20</v>
      </c>
      <c r="B23" s="7">
        <v>334.07400000000001</v>
      </c>
      <c r="C23" s="7">
        <v>0</v>
      </c>
      <c r="D23" s="7">
        <f t="shared" si="0"/>
        <v>334.07400000000001</v>
      </c>
      <c r="E23" s="7">
        <v>264.34899999999993</v>
      </c>
      <c r="F23" s="7">
        <v>0</v>
      </c>
      <c r="G23" s="7">
        <f t="shared" si="1"/>
        <v>264.34899999999993</v>
      </c>
      <c r="H23" s="8"/>
      <c r="I23" s="8"/>
      <c r="J23" s="9"/>
    </row>
    <row r="24" spans="1:10" x14ac:dyDescent="0.3">
      <c r="A24" s="10" t="s">
        <v>21</v>
      </c>
      <c r="B24" s="3">
        <v>4.5229999999999997</v>
      </c>
      <c r="C24" s="47">
        <v>0</v>
      </c>
      <c r="D24" s="3">
        <f t="shared" si="0"/>
        <v>4.5229999999999997</v>
      </c>
      <c r="E24" s="3">
        <v>2.077</v>
      </c>
      <c r="F24" s="47">
        <v>1E-3</v>
      </c>
      <c r="G24" s="3">
        <f t="shared" si="1"/>
        <v>2.0779999999999998</v>
      </c>
      <c r="H24" s="4"/>
      <c r="I24" s="4"/>
      <c r="J24" s="5"/>
    </row>
    <row r="25" spans="1:10" x14ac:dyDescent="0.3">
      <c r="A25" s="6" t="s">
        <v>22</v>
      </c>
      <c r="B25" s="7">
        <v>2.7380000000000004</v>
      </c>
      <c r="C25" s="7">
        <v>120.241</v>
      </c>
      <c r="D25" s="7">
        <f t="shared" si="0"/>
        <v>122.979</v>
      </c>
      <c r="E25" s="7">
        <v>45.442</v>
      </c>
      <c r="F25" s="7">
        <v>5.8170000000000002</v>
      </c>
      <c r="G25" s="7">
        <f t="shared" si="1"/>
        <v>51.259</v>
      </c>
      <c r="H25" s="8"/>
      <c r="I25" s="8"/>
      <c r="J25" s="9"/>
    </row>
    <row r="26" spans="1:10" x14ac:dyDescent="0.3">
      <c r="A26" s="10" t="s">
        <v>23</v>
      </c>
      <c r="B26" s="44">
        <v>0.14900000000000002</v>
      </c>
      <c r="C26" s="3">
        <v>0</v>
      </c>
      <c r="D26" s="44">
        <f t="shared" si="0"/>
        <v>0.14900000000000002</v>
      </c>
      <c r="E26" s="3">
        <v>1.087</v>
      </c>
      <c r="F26" s="3">
        <v>0</v>
      </c>
      <c r="G26" s="3">
        <f t="shared" si="1"/>
        <v>1.087</v>
      </c>
      <c r="H26" s="4"/>
      <c r="I26" s="4"/>
      <c r="J26" s="5"/>
    </row>
    <row r="27" spans="1:10" x14ac:dyDescent="0.3">
      <c r="A27" s="6" t="s">
        <v>24</v>
      </c>
      <c r="B27" s="7"/>
      <c r="C27" s="7"/>
      <c r="D27" s="7"/>
      <c r="E27" s="7"/>
      <c r="F27" s="7"/>
      <c r="G27" s="7"/>
      <c r="H27" s="8"/>
      <c r="I27" s="8"/>
      <c r="J27" s="9"/>
    </row>
    <row r="28" spans="1:10" x14ac:dyDescent="0.3">
      <c r="A28" s="10" t="s">
        <v>25</v>
      </c>
      <c r="B28" s="3">
        <v>135.309</v>
      </c>
      <c r="C28" s="43">
        <v>0</v>
      </c>
      <c r="D28" s="3">
        <f t="shared" si="0"/>
        <v>135.309</v>
      </c>
      <c r="E28" s="3">
        <v>338.363</v>
      </c>
      <c r="F28" s="43">
        <v>1.7000000000000001E-2</v>
      </c>
      <c r="G28" s="3">
        <f t="shared" si="1"/>
        <v>338.38</v>
      </c>
      <c r="H28" s="4"/>
      <c r="I28" s="4"/>
      <c r="J28" s="5"/>
    </row>
    <row r="29" spans="1:10" x14ac:dyDescent="0.3">
      <c r="A29" s="6" t="s">
        <v>26</v>
      </c>
      <c r="B29" s="7">
        <v>456.86600000000004</v>
      </c>
      <c r="C29" s="7">
        <v>4.2050000000000001</v>
      </c>
      <c r="D29" s="7">
        <f t="shared" si="0"/>
        <v>461.07100000000003</v>
      </c>
      <c r="E29" s="7">
        <v>422.56600000000003</v>
      </c>
      <c r="F29" s="49">
        <v>5.0000000000000001E-3</v>
      </c>
      <c r="G29" s="7">
        <f t="shared" si="1"/>
        <v>422.57100000000003</v>
      </c>
      <c r="H29" s="8"/>
      <c r="I29" s="8"/>
      <c r="J29" s="9"/>
    </row>
    <row r="30" spans="1:10" x14ac:dyDescent="0.3">
      <c r="A30" s="10" t="s">
        <v>27</v>
      </c>
      <c r="B30" s="3">
        <v>137.99099999999999</v>
      </c>
      <c r="C30" s="44">
        <v>0.14000000000000001</v>
      </c>
      <c r="D30" s="3">
        <f t="shared" si="0"/>
        <v>138.13099999999997</v>
      </c>
      <c r="E30" s="3">
        <v>127.70400000000002</v>
      </c>
      <c r="F30" s="44">
        <v>0.22</v>
      </c>
      <c r="G30" s="3">
        <f t="shared" si="1"/>
        <v>127.92400000000002</v>
      </c>
      <c r="H30" s="4"/>
      <c r="I30" s="4"/>
      <c r="J30" s="5"/>
    </row>
    <row r="31" spans="1:10" x14ac:dyDescent="0.3">
      <c r="A31" s="6" t="s">
        <v>28</v>
      </c>
      <c r="B31" s="7">
        <v>30.146999999999995</v>
      </c>
      <c r="C31" s="7">
        <v>0</v>
      </c>
      <c r="D31" s="7">
        <f t="shared" si="0"/>
        <v>30.146999999999995</v>
      </c>
      <c r="E31" s="7">
        <v>36.472000000000008</v>
      </c>
      <c r="F31" s="7">
        <v>0</v>
      </c>
      <c r="G31" s="7">
        <f t="shared" si="1"/>
        <v>36.472000000000008</v>
      </c>
      <c r="H31" s="8"/>
      <c r="I31" s="8"/>
      <c r="J31" s="9"/>
    </row>
    <row r="32" spans="1:10" x14ac:dyDescent="0.3">
      <c r="A32" s="10" t="s">
        <v>53</v>
      </c>
      <c r="B32" s="3"/>
      <c r="C32" s="3">
        <v>2.4450000000000003</v>
      </c>
      <c r="D32" s="3">
        <f t="shared" si="0"/>
        <v>2.4450000000000003</v>
      </c>
      <c r="E32" s="3">
        <v>0</v>
      </c>
      <c r="F32" s="3">
        <v>3.3239999999999998</v>
      </c>
      <c r="G32" s="3">
        <f t="shared" si="1"/>
        <v>3.3239999999999998</v>
      </c>
      <c r="H32" s="4"/>
      <c r="I32" s="4"/>
      <c r="J32" s="5"/>
    </row>
    <row r="33" spans="1:10" x14ac:dyDescent="0.3">
      <c r="A33" s="6" t="s">
        <v>61</v>
      </c>
      <c r="B33" s="7"/>
      <c r="C33" s="7"/>
      <c r="D33" s="45">
        <f>+B33+C33</f>
        <v>0</v>
      </c>
      <c r="E33" s="7"/>
      <c r="F33" s="7"/>
      <c r="G33" s="7"/>
      <c r="H33" s="8"/>
      <c r="I33" s="8"/>
      <c r="J33" s="9"/>
    </row>
    <row r="34" spans="1:10" x14ac:dyDescent="0.3">
      <c r="A34" s="10" t="s">
        <v>29</v>
      </c>
      <c r="B34" s="3">
        <v>12.187999999999999</v>
      </c>
      <c r="C34" s="3">
        <v>1.875</v>
      </c>
      <c r="D34" s="3">
        <f t="shared" si="0"/>
        <v>14.062999999999999</v>
      </c>
      <c r="E34" s="3">
        <v>9.3870000000000022</v>
      </c>
      <c r="F34" s="3">
        <v>1.4849999999999999</v>
      </c>
      <c r="G34" s="3">
        <f t="shared" si="1"/>
        <v>10.872000000000002</v>
      </c>
      <c r="H34" s="4"/>
      <c r="I34" s="4"/>
      <c r="J34" s="5"/>
    </row>
    <row r="35" spans="1:10" x14ac:dyDescent="0.3">
      <c r="A35" s="6" t="s">
        <v>60</v>
      </c>
      <c r="B35" s="7">
        <v>27.413999999999998</v>
      </c>
      <c r="C35" s="7">
        <v>0</v>
      </c>
      <c r="D35" s="7">
        <f t="shared" si="0"/>
        <v>27.413999999999998</v>
      </c>
      <c r="E35" s="7">
        <v>27.494000000000003</v>
      </c>
      <c r="F35" s="7">
        <v>0</v>
      </c>
      <c r="G35" s="7">
        <f t="shared" si="1"/>
        <v>27.494000000000003</v>
      </c>
      <c r="H35" s="48"/>
      <c r="I35" s="48"/>
      <c r="J35" s="40"/>
    </row>
    <row r="36" spans="1:10" x14ac:dyDescent="0.3">
      <c r="A36" s="10" t="s">
        <v>30</v>
      </c>
      <c r="B36" s="3">
        <v>3.2059999999999995</v>
      </c>
      <c r="C36" s="43">
        <v>0</v>
      </c>
      <c r="D36" s="3">
        <f t="shared" si="0"/>
        <v>3.2059999999999995</v>
      </c>
      <c r="E36" s="3">
        <v>6.9039999999999999</v>
      </c>
      <c r="F36" s="43">
        <v>1.1000000000000003E-2</v>
      </c>
      <c r="G36" s="3">
        <f t="shared" si="1"/>
        <v>6.915</v>
      </c>
      <c r="H36" s="4"/>
      <c r="I36" s="4"/>
      <c r="J36" s="5"/>
    </row>
    <row r="37" spans="1:10" x14ac:dyDescent="0.3">
      <c r="A37" s="6" t="s">
        <v>31</v>
      </c>
      <c r="B37" s="7">
        <v>45.644000000000005</v>
      </c>
      <c r="C37" s="7">
        <v>0</v>
      </c>
      <c r="D37" s="7">
        <f t="shared" si="0"/>
        <v>45.644000000000005</v>
      </c>
      <c r="E37" s="7">
        <v>56.178000000000004</v>
      </c>
      <c r="F37" s="7">
        <v>0</v>
      </c>
      <c r="G37" s="7">
        <f t="shared" si="1"/>
        <v>56.178000000000004</v>
      </c>
      <c r="H37" s="8"/>
      <c r="I37" s="8"/>
      <c r="J37" s="9"/>
    </row>
    <row r="38" spans="1:10" x14ac:dyDescent="0.3">
      <c r="A38" s="10" t="s">
        <v>32</v>
      </c>
      <c r="B38" s="3">
        <v>12.611000000000001</v>
      </c>
      <c r="C38" s="3">
        <v>0</v>
      </c>
      <c r="D38" s="3">
        <f t="shared" si="0"/>
        <v>12.611000000000001</v>
      </c>
      <c r="E38" s="3">
        <v>21.237000000000002</v>
      </c>
      <c r="F38" s="3">
        <v>0</v>
      </c>
      <c r="G38" s="3">
        <f t="shared" si="1"/>
        <v>21.237000000000002</v>
      </c>
      <c r="H38" s="4"/>
      <c r="I38" s="4"/>
      <c r="J38" s="5"/>
    </row>
    <row r="39" spans="1:10" x14ac:dyDescent="0.3">
      <c r="A39" s="6" t="s">
        <v>33</v>
      </c>
      <c r="B39" s="7">
        <v>3.0940000000000003</v>
      </c>
      <c r="C39" s="7">
        <v>0</v>
      </c>
      <c r="D39" s="7">
        <f t="shared" si="0"/>
        <v>3.0940000000000003</v>
      </c>
      <c r="E39" s="7">
        <v>2.032</v>
      </c>
      <c r="F39" s="7">
        <v>0</v>
      </c>
      <c r="G39" s="7">
        <f t="shared" si="1"/>
        <v>2.032</v>
      </c>
      <c r="H39" s="8"/>
      <c r="I39" s="8"/>
      <c r="J39" s="9"/>
    </row>
    <row r="40" spans="1:10" x14ac:dyDescent="0.3">
      <c r="A40" s="10" t="s">
        <v>34</v>
      </c>
      <c r="B40" s="3">
        <v>520.73300000000006</v>
      </c>
      <c r="C40" s="3">
        <v>7.3939999999999992</v>
      </c>
      <c r="D40" s="3">
        <f t="shared" si="0"/>
        <v>528.12700000000007</v>
      </c>
      <c r="E40" s="3">
        <v>614.55899999999986</v>
      </c>
      <c r="F40" s="3">
        <v>15.252999999999997</v>
      </c>
      <c r="G40" s="3">
        <f t="shared" si="1"/>
        <v>629.8119999999999</v>
      </c>
      <c r="H40" s="4"/>
      <c r="I40" s="4"/>
      <c r="J40" s="5"/>
    </row>
    <row r="41" spans="1:10" x14ac:dyDescent="0.3">
      <c r="A41" s="6" t="s">
        <v>35</v>
      </c>
      <c r="B41" s="45"/>
      <c r="C41" s="7"/>
      <c r="D41" s="7"/>
      <c r="E41" s="45">
        <v>0.10300000000000001</v>
      </c>
      <c r="F41" s="7">
        <v>6.88</v>
      </c>
      <c r="G41" s="7">
        <f>+E41+F41</f>
        <v>6.9829999999999997</v>
      </c>
      <c r="H41" s="8"/>
      <c r="I41" s="8"/>
      <c r="J41" s="9"/>
    </row>
    <row r="42" spans="1:10" x14ac:dyDescent="0.3">
      <c r="A42" s="10" t="s">
        <v>36</v>
      </c>
      <c r="B42" s="3">
        <v>178.98599999999999</v>
      </c>
      <c r="C42" s="44">
        <v>0.26</v>
      </c>
      <c r="D42" s="3">
        <f t="shared" si="0"/>
        <v>179.24599999999998</v>
      </c>
      <c r="E42" s="3">
        <v>239.41199999999995</v>
      </c>
      <c r="F42" s="44">
        <v>0.93500000000000005</v>
      </c>
      <c r="G42" s="3">
        <f t="shared" si="1"/>
        <v>240.34699999999995</v>
      </c>
      <c r="H42" s="4"/>
      <c r="I42" s="4"/>
      <c r="J42" s="5"/>
    </row>
    <row r="43" spans="1:10" x14ac:dyDescent="0.3">
      <c r="A43" s="6" t="s">
        <v>37</v>
      </c>
      <c r="B43" s="7">
        <v>69.426999999999992</v>
      </c>
      <c r="C43" s="7">
        <v>0</v>
      </c>
      <c r="D43" s="7">
        <f t="shared" si="0"/>
        <v>69.426999999999992</v>
      </c>
      <c r="E43" s="7">
        <v>141.02199999999999</v>
      </c>
      <c r="F43" s="7">
        <v>0</v>
      </c>
      <c r="G43" s="7">
        <f t="shared" si="1"/>
        <v>141.02199999999999</v>
      </c>
      <c r="H43" s="8"/>
      <c r="I43" s="8"/>
      <c r="J43" s="9"/>
    </row>
    <row r="44" spans="1:10" x14ac:dyDescent="0.3">
      <c r="A44" s="10" t="s">
        <v>38</v>
      </c>
      <c r="B44" s="3">
        <v>88.455000000000013</v>
      </c>
      <c r="C44" s="3">
        <v>3.6</v>
      </c>
      <c r="D44" s="3">
        <f t="shared" si="0"/>
        <v>92.055000000000007</v>
      </c>
      <c r="E44" s="3">
        <v>82.364000000000004</v>
      </c>
      <c r="F44" s="3">
        <v>0</v>
      </c>
      <c r="G44" s="3">
        <f t="shared" si="1"/>
        <v>82.364000000000004</v>
      </c>
      <c r="H44" s="4"/>
      <c r="I44" s="4"/>
      <c r="J44" s="5"/>
    </row>
    <row r="45" spans="1:10" x14ac:dyDescent="0.3">
      <c r="A45" s="6" t="s">
        <v>68</v>
      </c>
      <c r="B45" s="7">
        <v>38.151999999999994</v>
      </c>
      <c r="C45" s="7"/>
      <c r="D45" s="7">
        <f t="shared" si="0"/>
        <v>38.151999999999994</v>
      </c>
      <c r="E45" s="7">
        <v>45.029999999999994</v>
      </c>
      <c r="F45" s="7"/>
      <c r="G45" s="7">
        <f t="shared" si="1"/>
        <v>45.029999999999994</v>
      </c>
      <c r="H45" s="8"/>
      <c r="I45" s="8"/>
      <c r="J45" s="9"/>
    </row>
    <row r="46" spans="1:10" x14ac:dyDescent="0.3">
      <c r="A46" s="10" t="s">
        <v>39</v>
      </c>
      <c r="B46" s="3">
        <v>5.99</v>
      </c>
      <c r="C46" s="3">
        <v>0</v>
      </c>
      <c r="D46" s="3">
        <f t="shared" si="0"/>
        <v>5.99</v>
      </c>
      <c r="E46" s="3">
        <v>17.115000000000002</v>
      </c>
      <c r="F46" s="3">
        <v>0</v>
      </c>
      <c r="G46" s="3">
        <f t="shared" si="1"/>
        <v>17.115000000000002</v>
      </c>
      <c r="H46" s="4"/>
      <c r="I46" s="4"/>
      <c r="J46" s="5"/>
    </row>
    <row r="47" spans="1:10" x14ac:dyDescent="0.3">
      <c r="A47" s="6" t="s">
        <v>40</v>
      </c>
      <c r="B47" s="7">
        <v>18.615000000000002</v>
      </c>
      <c r="C47" s="45">
        <v>0.13</v>
      </c>
      <c r="D47" s="7">
        <f t="shared" si="0"/>
        <v>18.745000000000001</v>
      </c>
      <c r="E47" s="7">
        <v>122.72899999999996</v>
      </c>
      <c r="F47" s="45">
        <v>0.20800000000000002</v>
      </c>
      <c r="G47" s="7">
        <f t="shared" si="1"/>
        <v>122.93699999999995</v>
      </c>
      <c r="H47" s="8"/>
      <c r="I47" s="8"/>
      <c r="J47" s="9"/>
    </row>
    <row r="48" spans="1:10" x14ac:dyDescent="0.3">
      <c r="A48" s="10" t="s">
        <v>41</v>
      </c>
      <c r="B48" s="3">
        <v>334.70499999999998</v>
      </c>
      <c r="C48" s="3">
        <v>1.3049999999999999</v>
      </c>
      <c r="D48" s="3">
        <f t="shared" si="0"/>
        <v>336.01</v>
      </c>
      <c r="E48" s="3">
        <v>389.50099999999998</v>
      </c>
      <c r="F48" s="3">
        <v>3.7399999999999998</v>
      </c>
      <c r="G48" s="3">
        <f t="shared" si="1"/>
        <v>393.24099999999999</v>
      </c>
      <c r="H48" s="4"/>
      <c r="I48" s="4"/>
      <c r="J48" s="5"/>
    </row>
    <row r="49" spans="1:10" x14ac:dyDescent="0.3">
      <c r="A49" s="6" t="s">
        <v>42</v>
      </c>
      <c r="B49" s="45"/>
      <c r="C49" s="7"/>
      <c r="D49" s="7"/>
      <c r="E49" s="45">
        <v>0.36499999999999999</v>
      </c>
      <c r="F49" s="7">
        <v>0</v>
      </c>
      <c r="G49" s="45">
        <f>+E49+F49</f>
        <v>0.36499999999999999</v>
      </c>
      <c r="H49" s="8"/>
      <c r="I49" s="8"/>
      <c r="J49" s="9"/>
    </row>
    <row r="50" spans="1:10" x14ac:dyDescent="0.3">
      <c r="A50" s="10" t="s">
        <v>43</v>
      </c>
      <c r="B50" s="3">
        <v>1.2190000000000001</v>
      </c>
      <c r="C50" s="3">
        <v>0</v>
      </c>
      <c r="D50" s="3">
        <f t="shared" si="0"/>
        <v>1.2190000000000001</v>
      </c>
      <c r="E50" s="3">
        <v>10.747999999999999</v>
      </c>
      <c r="F50" s="3">
        <v>0</v>
      </c>
      <c r="G50" s="3">
        <f t="shared" si="1"/>
        <v>10.747999999999999</v>
      </c>
      <c r="H50" s="4"/>
      <c r="I50" s="4"/>
      <c r="J50" s="5"/>
    </row>
    <row r="51" spans="1:10" x14ac:dyDescent="0.3">
      <c r="A51" s="6" t="s">
        <v>44</v>
      </c>
      <c r="B51" s="7">
        <v>12.647999999999998</v>
      </c>
      <c r="C51" s="7">
        <v>0</v>
      </c>
      <c r="D51" s="7">
        <f t="shared" si="0"/>
        <v>12.647999999999998</v>
      </c>
      <c r="E51" s="7">
        <v>28.906000000000006</v>
      </c>
      <c r="F51" s="7">
        <v>0</v>
      </c>
      <c r="G51" s="7">
        <f t="shared" si="1"/>
        <v>28.906000000000006</v>
      </c>
      <c r="H51" s="8"/>
      <c r="I51" s="8"/>
      <c r="J51" s="9"/>
    </row>
    <row r="52" spans="1:10" x14ac:dyDescent="0.3">
      <c r="A52" s="10" t="s">
        <v>45</v>
      </c>
      <c r="B52" s="3">
        <v>17.293999999999997</v>
      </c>
      <c r="C52" s="3">
        <v>0</v>
      </c>
      <c r="D52" s="3">
        <f t="shared" si="0"/>
        <v>17.293999999999997</v>
      </c>
      <c r="E52" s="3">
        <v>108.85399999999998</v>
      </c>
      <c r="F52" s="3">
        <v>0</v>
      </c>
      <c r="G52" s="3">
        <f t="shared" si="1"/>
        <v>108.85399999999998</v>
      </c>
      <c r="H52" s="4"/>
      <c r="I52" s="4"/>
      <c r="J52" s="5"/>
    </row>
    <row r="53" spans="1:10" x14ac:dyDescent="0.3">
      <c r="A53" s="6" t="s">
        <v>46</v>
      </c>
      <c r="B53" s="45">
        <v>0.35199999999999998</v>
      </c>
      <c r="C53" s="7">
        <v>0</v>
      </c>
      <c r="D53" s="45">
        <f t="shared" si="0"/>
        <v>0.35199999999999998</v>
      </c>
      <c r="E53" s="7">
        <v>2.4859999999999998</v>
      </c>
      <c r="F53" s="7">
        <v>0</v>
      </c>
      <c r="G53" s="7">
        <f t="shared" si="1"/>
        <v>2.4859999999999998</v>
      </c>
      <c r="H53" s="8"/>
      <c r="I53" s="8"/>
      <c r="J53" s="9"/>
    </row>
    <row r="54" spans="1:10" x14ac:dyDescent="0.3">
      <c r="A54" s="10" t="s">
        <v>64</v>
      </c>
      <c r="B54" s="43">
        <v>0</v>
      </c>
      <c r="C54" s="3">
        <v>703.71299999999985</v>
      </c>
      <c r="D54" s="3">
        <f t="shared" si="0"/>
        <v>703.71299999999985</v>
      </c>
      <c r="E54" s="43">
        <v>5.0000000000000001E-3</v>
      </c>
      <c r="F54" s="3">
        <v>430.49199999999996</v>
      </c>
      <c r="G54" s="3">
        <f t="shared" si="1"/>
        <v>430.49699999999996</v>
      </c>
      <c r="H54" s="4"/>
      <c r="I54" s="4"/>
      <c r="J54" s="5"/>
    </row>
    <row r="55" spans="1:10" x14ac:dyDescent="0.3">
      <c r="A55" s="6" t="s">
        <v>47</v>
      </c>
      <c r="B55" s="7"/>
      <c r="C55" s="7"/>
      <c r="D55" s="7">
        <f t="shared" si="0"/>
        <v>0</v>
      </c>
      <c r="E55" s="7"/>
      <c r="F55" s="7"/>
      <c r="G55" s="7"/>
      <c r="H55" s="8"/>
      <c r="I55" s="8"/>
      <c r="J55" s="9"/>
    </row>
    <row r="56" spans="1:10" x14ac:dyDescent="0.3">
      <c r="A56" s="10" t="s">
        <v>48</v>
      </c>
      <c r="B56" s="44">
        <v>0.36</v>
      </c>
      <c r="C56" s="3">
        <v>0</v>
      </c>
      <c r="D56" s="44">
        <f t="shared" si="0"/>
        <v>0.36</v>
      </c>
      <c r="E56" s="44">
        <v>0.10200000000000001</v>
      </c>
      <c r="F56" s="3">
        <v>0</v>
      </c>
      <c r="G56" s="44">
        <f>+E56+F56</f>
        <v>0.10200000000000001</v>
      </c>
      <c r="H56" s="4"/>
      <c r="I56" s="4"/>
      <c r="J56" s="5"/>
    </row>
    <row r="57" spans="1:10" x14ac:dyDescent="0.3">
      <c r="A57" s="6" t="s">
        <v>49</v>
      </c>
      <c r="B57" s="7">
        <v>153.63400000000004</v>
      </c>
      <c r="C57" s="7">
        <v>0</v>
      </c>
      <c r="D57" s="7">
        <f t="shared" si="0"/>
        <v>153.63400000000004</v>
      </c>
      <c r="E57" s="7">
        <v>305.09300000000002</v>
      </c>
      <c r="F57" s="7">
        <v>1.2969999999999999</v>
      </c>
      <c r="G57" s="7">
        <f t="shared" si="1"/>
        <v>306.39000000000004</v>
      </c>
      <c r="H57" s="8"/>
      <c r="I57" s="8"/>
      <c r="J57" s="9"/>
    </row>
    <row r="58" spans="1:10" x14ac:dyDescent="0.3">
      <c r="A58" s="10" t="s">
        <v>54</v>
      </c>
      <c r="B58" s="44">
        <v>0.28399999999999997</v>
      </c>
      <c r="C58" s="3"/>
      <c r="D58" s="44">
        <f t="shared" si="0"/>
        <v>0.28399999999999997</v>
      </c>
      <c r="E58" s="3">
        <v>3.4820000000000002</v>
      </c>
      <c r="F58" s="3">
        <v>0</v>
      </c>
      <c r="G58" s="3">
        <f t="shared" si="1"/>
        <v>3.4820000000000002</v>
      </c>
      <c r="H58" s="4"/>
      <c r="I58" s="4"/>
      <c r="J58" s="5"/>
    </row>
    <row r="59" spans="1:10" x14ac:dyDescent="0.3">
      <c r="A59" s="6" t="s">
        <v>55</v>
      </c>
      <c r="B59" s="45"/>
      <c r="C59" s="7"/>
      <c r="D59" s="7"/>
      <c r="E59" s="45">
        <v>0.34100000000000003</v>
      </c>
      <c r="F59" s="7">
        <v>0</v>
      </c>
      <c r="G59" s="45">
        <f>+E59+F59</f>
        <v>0.34100000000000003</v>
      </c>
      <c r="H59" s="8"/>
      <c r="I59" s="8"/>
      <c r="J59" s="9"/>
    </row>
    <row r="60" spans="1:10" x14ac:dyDescent="0.3">
      <c r="A60" s="11"/>
      <c r="B60" s="22"/>
      <c r="C60" s="22"/>
      <c r="D60" s="22"/>
      <c r="E60" s="22"/>
      <c r="F60" s="22"/>
      <c r="G60" s="22"/>
      <c r="H60" s="23"/>
      <c r="I60" s="23"/>
      <c r="J60" s="23"/>
    </row>
    <row r="61" spans="1:10" x14ac:dyDescent="0.3">
      <c r="A61" s="14"/>
      <c r="B61" s="24"/>
      <c r="C61" s="24"/>
      <c r="D61" s="24"/>
      <c r="E61" s="24"/>
      <c r="F61" s="24"/>
      <c r="G61" s="24"/>
      <c r="H61" s="25"/>
      <c r="I61" s="25"/>
      <c r="J61" s="25"/>
    </row>
    <row r="62" spans="1:10" x14ac:dyDescent="0.3">
      <c r="A62" s="26"/>
      <c r="B62" s="27"/>
      <c r="C62" s="27"/>
      <c r="D62" s="27"/>
      <c r="E62" s="27"/>
      <c r="F62" s="27"/>
      <c r="G62" s="27"/>
      <c r="H62" s="27"/>
      <c r="I62" s="27"/>
      <c r="J62" s="28"/>
    </row>
    <row r="63" spans="1:10" x14ac:dyDescent="0.3">
      <c r="A63" s="26" t="s">
        <v>59</v>
      </c>
      <c r="B63" s="27"/>
      <c r="C63" s="27"/>
      <c r="D63" s="27"/>
      <c r="E63" s="27"/>
      <c r="F63" s="27"/>
      <c r="G63" s="27"/>
      <c r="H63" s="27"/>
      <c r="I63" s="27"/>
      <c r="J63" s="28"/>
    </row>
    <row r="64" spans="1:10" ht="15" thickBot="1" x14ac:dyDescent="0.35">
      <c r="A64" s="29"/>
      <c r="B64" s="30"/>
      <c r="C64" s="30"/>
      <c r="D64" s="30"/>
      <c r="E64" s="30"/>
      <c r="F64" s="30"/>
      <c r="G64" s="30"/>
      <c r="H64" s="30"/>
      <c r="I64" s="30"/>
      <c r="J64" s="31"/>
    </row>
    <row r="65" spans="1:10" ht="62.25" customHeight="1" x14ac:dyDescent="0.3">
      <c r="A65" s="51"/>
      <c r="B65" s="51"/>
      <c r="C65" s="51"/>
      <c r="D65" s="51"/>
      <c r="E65" s="51"/>
      <c r="F65" s="51"/>
      <c r="G65" s="51"/>
      <c r="H65" s="51"/>
      <c r="I65" s="51"/>
      <c r="J65" s="51"/>
    </row>
    <row r="66" spans="1:10" x14ac:dyDescent="0.3">
      <c r="E66" s="37"/>
      <c r="F66" s="37"/>
    </row>
    <row r="67" spans="1:10" x14ac:dyDescent="0.3">
      <c r="B67" s="50"/>
      <c r="E67" s="50"/>
      <c r="F67" s="50"/>
      <c r="G67" s="50"/>
    </row>
    <row r="68" spans="1:10" x14ac:dyDescent="0.3">
      <c r="B68" s="50"/>
    </row>
    <row r="69" spans="1:10" x14ac:dyDescent="0.3">
      <c r="B69" s="50"/>
    </row>
  </sheetData>
  <mergeCells count="5">
    <mergeCell ref="A1:J1"/>
    <mergeCell ref="A2:A3"/>
    <mergeCell ref="B2:D2"/>
    <mergeCell ref="E2:G2"/>
    <mergeCell ref="H2:J2"/>
  </mergeCells>
  <conditionalFormatting sqref="B4:J59">
    <cfRule type="cellIs" dxfId="0" priority="1" operator="equal">
      <formula>0</formula>
    </cfRule>
  </conditionalFormatting>
  <printOptions horizontalCentered="1" verticalCentered="1"/>
  <pageMargins left="0.70866141732283472" right="0.70866141732283472" top="0.74803149606299213" bottom="0.74803149606299213" header="0.31496062992125984" footer="0.31496062992125984"/>
  <pageSetup paperSize="9" scale="55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Unknown Document Type" ma:contentTypeID="0x010104" ma:contentTypeVersion="0" ma:contentTypeDescription="" ma:contentTypeScope="" ma:versionID="05d83ceaa0bbd2e3bc716e6e66bd857a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3d69fe45253d5ff147bb69036b756a7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 ma:readOnly="true"/>
        <xsd:element ref="dc:title" minOccurs="0" maxOccurs="1" ma:index="3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C522A39-E4DF-47DE-8FE3-98368B6AB8F2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78AB87E7-46A1-474F-AE0B-D58E8F37BDD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98E1F035-2055-440C-AB88-5BB1FB6A0C2C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2</vt:i4>
      </vt:variant>
    </vt:vector>
  </HeadingPairs>
  <TitlesOfParts>
    <vt:vector size="7" baseType="lpstr">
      <vt:lpstr>TÜM UÇAK</vt:lpstr>
      <vt:lpstr>YOLCU</vt:lpstr>
      <vt:lpstr>TİCARİ UÇAK</vt:lpstr>
      <vt:lpstr>YÜK </vt:lpstr>
      <vt:lpstr>KARGO</vt:lpstr>
      <vt:lpstr>KARGO!Print_Area</vt:lpstr>
      <vt:lpstr>'TÜM UÇAK'!Print_Area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Sevil KAPLAN</dc:creator>
  <cp:lastModifiedBy>AKIF BORA EREN</cp:lastModifiedBy>
  <cp:lastPrinted>2020-04-22T11:11:12Z</cp:lastPrinted>
  <dcterms:created xsi:type="dcterms:W3CDTF">2017-03-06T11:35:15Z</dcterms:created>
  <dcterms:modified xsi:type="dcterms:W3CDTF">2026-05-20T02:20:10Z</dcterms:modified>
</cp:coreProperties>
</file>