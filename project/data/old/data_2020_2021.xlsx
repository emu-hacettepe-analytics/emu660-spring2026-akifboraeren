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rogramming\R Projects\emu660-spring2026-emu660-spring2026-emu660-quarto-template\project\data\"/>
    </mc:Choice>
  </mc:AlternateContent>
  <xr:revisionPtr revIDLastSave="0" documentId="13_ncr:1_{293584B5-28BD-428B-BBC6-D977DFDF8FAA}" xr6:coauthVersionLast="47" xr6:coauthVersionMax="47" xr10:uidLastSave="{00000000-0000-0000-0000-000000000000}"/>
  <bookViews>
    <workbookView xWindow="-6240" yWindow="2556" windowWidth="17280" windowHeight="8880" activeTab="4" xr2:uid="{00000000-000D-0000-FFFF-FFFF00000000}"/>
  </bookViews>
  <sheets>
    <sheet name="TÜM UÇAK" sheetId="1" r:id="rId1"/>
    <sheet name="YOLCU" sheetId="2" r:id="rId2"/>
    <sheet name="TİCARİ UÇAK" sheetId="3" r:id="rId3"/>
    <sheet name="YÜK " sheetId="4" r:id="rId4"/>
    <sheet name="KARGO" sheetId="5" r:id="rId5"/>
  </sheets>
  <definedNames>
    <definedName name="_xlnm.Print_Area" localSheetId="4">KARGO!$A$1:$J$67</definedName>
    <definedName name="_xlnm.Print_Area" localSheetId="0">'TÜM UÇAK'!$A$1:$J$67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9" i="5" l="1"/>
  <c r="D59" i="5"/>
  <c r="G58" i="5"/>
  <c r="D58" i="5"/>
  <c r="G57" i="5"/>
  <c r="D57" i="5"/>
  <c r="G56" i="5"/>
  <c r="D56" i="5"/>
  <c r="D55" i="5"/>
  <c r="G54" i="5"/>
  <c r="D54" i="5"/>
  <c r="G53" i="5"/>
  <c r="D53" i="5"/>
  <c r="G52" i="5"/>
  <c r="D52" i="5"/>
  <c r="G51" i="5"/>
  <c r="D51" i="5"/>
  <c r="G50" i="5"/>
  <c r="D50" i="5"/>
  <c r="G49" i="5"/>
  <c r="D49" i="5"/>
  <c r="G48" i="5"/>
  <c r="D48" i="5"/>
  <c r="G47" i="5"/>
  <c r="D47" i="5"/>
  <c r="G46" i="5"/>
  <c r="D46" i="5"/>
  <c r="G45" i="5"/>
  <c r="D45" i="5"/>
  <c r="G44" i="5"/>
  <c r="D44" i="5"/>
  <c r="G43" i="5"/>
  <c r="D43" i="5"/>
  <c r="G42" i="5"/>
  <c r="D42" i="5"/>
  <c r="G41" i="5"/>
  <c r="D41" i="5"/>
  <c r="G40" i="5"/>
  <c r="D40" i="5"/>
  <c r="G39" i="5"/>
  <c r="D39" i="5"/>
  <c r="G38" i="5"/>
  <c r="D38" i="5"/>
  <c r="G37" i="5"/>
  <c r="D37" i="5"/>
  <c r="G36" i="5"/>
  <c r="D36" i="5"/>
  <c r="G35" i="5"/>
  <c r="D35" i="5"/>
  <c r="G34" i="5"/>
  <c r="D34" i="5"/>
  <c r="D33" i="5"/>
  <c r="G32" i="5"/>
  <c r="D32" i="5"/>
  <c r="G31" i="5"/>
  <c r="D31" i="5"/>
  <c r="G30" i="5"/>
  <c r="D30" i="5"/>
  <c r="G29" i="5"/>
  <c r="D29" i="5"/>
  <c r="G28" i="5"/>
  <c r="D28" i="5"/>
  <c r="G26" i="5"/>
  <c r="D26" i="5"/>
  <c r="G25" i="5"/>
  <c r="D25" i="5"/>
  <c r="G24" i="5"/>
  <c r="D24" i="5"/>
  <c r="G23" i="5"/>
  <c r="D23" i="5"/>
  <c r="G21" i="5"/>
  <c r="D21" i="5"/>
  <c r="G19" i="5"/>
  <c r="D19" i="5"/>
  <c r="G18" i="5"/>
  <c r="D18" i="5"/>
  <c r="G17" i="5"/>
  <c r="D17" i="5"/>
  <c r="G16" i="5"/>
  <c r="D16" i="5"/>
  <c r="G15" i="5"/>
  <c r="D15" i="5"/>
  <c r="G14" i="5"/>
  <c r="D14" i="5"/>
  <c r="G13" i="5"/>
  <c r="D13" i="5"/>
  <c r="G12" i="5"/>
  <c r="D12" i="5"/>
  <c r="G11" i="5"/>
  <c r="D11" i="5"/>
  <c r="G10" i="5"/>
  <c r="D10" i="5"/>
  <c r="G9" i="5"/>
  <c r="D9" i="5"/>
  <c r="G8" i="5"/>
  <c r="D8" i="5"/>
  <c r="G7" i="5"/>
  <c r="D7" i="5"/>
  <c r="G6" i="5"/>
  <c r="D6" i="5"/>
  <c r="G5" i="5"/>
  <c r="D5" i="5"/>
  <c r="G4" i="5"/>
  <c r="D4" i="5"/>
</calcChain>
</file>

<file path=xl/sharedStrings.xml><?xml version="1.0" encoding="utf-8"?>
<sst xmlns="http://schemas.openxmlformats.org/spreadsheetml/2006/main" count="330" uniqueCount="70">
  <si>
    <t xml:space="preserve">   TÜM UÇAK TRAFİĞİ</t>
  </si>
  <si>
    <t xml:space="preserve">Havalimanları </t>
  </si>
  <si>
    <t>İç Hat</t>
  </si>
  <si>
    <t>Dış Hat</t>
  </si>
  <si>
    <t>Toplam</t>
  </si>
  <si>
    <t>İstanbul Atatürk</t>
  </si>
  <si>
    <t>Ankara Esenboğa</t>
  </si>
  <si>
    <t>İzmir Adnan Menderes</t>
  </si>
  <si>
    <t>Antalya</t>
  </si>
  <si>
    <t>Muğla Dalaman</t>
  </si>
  <si>
    <t>Muğla Milas-Bodrum</t>
  </si>
  <si>
    <t>Adana</t>
  </si>
  <si>
    <t>Trabzon</t>
  </si>
  <si>
    <t>Erzurum</t>
  </si>
  <si>
    <t>Gaziantep</t>
  </si>
  <si>
    <t>Adıyaman</t>
  </si>
  <si>
    <t>Ağrı Ahmed-i Hani</t>
  </si>
  <si>
    <t>Amasya Merzifon</t>
  </si>
  <si>
    <t>Balıkesir Koca Seyit</t>
  </si>
  <si>
    <t>Balıkesir Merkez</t>
  </si>
  <si>
    <t>Batman</t>
  </si>
  <si>
    <t>Bingöl</t>
  </si>
  <si>
    <t>Bursa Yenişehir</t>
  </si>
  <si>
    <t>Çanakkale</t>
  </si>
  <si>
    <t>Çanakkale Gökçeada</t>
  </si>
  <si>
    <t>Denizli Çardak</t>
  </si>
  <si>
    <t>Diyarbakır</t>
  </si>
  <si>
    <t>Elazığ</t>
  </si>
  <si>
    <t>Hatay</t>
  </si>
  <si>
    <t>Isparta Süleyman Demirel</t>
  </si>
  <si>
    <t>Kahramanmaraş</t>
  </si>
  <si>
    <t>Kars Harakani</t>
  </si>
  <si>
    <t>Kastamonu</t>
  </si>
  <si>
    <t>Kayseri</t>
  </si>
  <si>
    <t>Kocaeli Cengiz Topel</t>
  </si>
  <si>
    <t>Konya</t>
  </si>
  <si>
    <t>Malatya</t>
  </si>
  <si>
    <t>Mardin</t>
  </si>
  <si>
    <t>Kapadokya</t>
  </si>
  <si>
    <t>Ordu-Giresun</t>
  </si>
  <si>
    <t>Samsun Çarşamba</t>
  </si>
  <si>
    <t>Siirt</t>
  </si>
  <si>
    <t>Sinop</t>
  </si>
  <si>
    <t>Sivas Nuri Demirağ</t>
  </si>
  <si>
    <t>Şırnak Şerafettin Elçi</t>
  </si>
  <si>
    <t>Tokat</t>
  </si>
  <si>
    <t>Uşak</t>
  </si>
  <si>
    <t>Van Ferit Melen</t>
  </si>
  <si>
    <t>İstanbul Sabiha Gökçen(*)</t>
  </si>
  <si>
    <t>Gazipaşa Alanya(*)</t>
  </si>
  <si>
    <t>Aydın Çıldır(*)</t>
  </si>
  <si>
    <t>Eskişehir Hasan Polatkan(*)</t>
  </si>
  <si>
    <t>Zafer(*)</t>
  </si>
  <si>
    <t>Zonguldak Çaycuma(*)</t>
  </si>
  <si>
    <t>YOLCU TRAFİĞİ (Gelen-Giden)</t>
  </si>
  <si>
    <t xml:space="preserve">   TİCARİ  UÇAK TRAFİĞİ</t>
  </si>
  <si>
    <t>YÜK TRAFİĞİ ( Bagaj+Kargo+Posta) (TON)</t>
  </si>
  <si>
    <t>Iğdır Şehit Bülent Aydın</t>
  </si>
  <si>
    <t>Hakkari Yüksekova Selahaddin Eyyubi</t>
  </si>
  <si>
    <t>İstanbul(*)</t>
  </si>
  <si>
    <t xml:space="preserve">Muş Sultan Alparslan </t>
  </si>
  <si>
    <t>Tekirdağ Çorlu Atatürk</t>
  </si>
  <si>
    <t>Şanlıurfa GAP</t>
  </si>
  <si>
    <t>Erzincan Yıldırım Akbulut</t>
  </si>
  <si>
    <t>2020 YIL SONU</t>
  </si>
  <si>
    <t>2021 YIL SONU</t>
  </si>
  <si>
    <t>KARGO TRAFİĞİ (TON)</t>
  </si>
  <si>
    <t xml:space="preserve">2020 YIL SONU
</t>
  </si>
  <si>
    <t xml:space="preserve">2021 YIL SONU
</t>
  </si>
  <si>
    <t>Muş Sultan Alparslan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</si>
</sst>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.00\ _T_L_-;\-* #,##0.00\ _T_L_-;_-* &quot;-&quot;??\ _T_L_-;_-@_-"/>
    <numFmt numFmtId="165" formatCode="_-* #,##0\ _T_L_-;\-* #,##0\ _T_L_-;_-* &quot;-&quot;??\ _T_L_-;_-@_-"/>
    <numFmt numFmtId="166" formatCode="#,##0.0"/>
    <numFmt numFmtId="167" formatCode="#,##0_ ;\-#,##0\ "/>
    <numFmt numFmtId="168" formatCode="0.0"/>
    <numFmt numFmtId="169" formatCode="#,##0.000"/>
    <numFmt numFmtId="170" formatCode="_-* #,##0_-;\-* #,##0_-;_-* &quot;-&quot;??_-;_-@_-"/>
  </numFmts>
  <fonts count="13" x14ac:knownFonts="1">
    <font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11"/>
      <color theme="1"/>
      <name val="Tahoma"/>
      <family val="2"/>
      <charset val="162"/>
    </font>
    <font>
      <b/>
      <sz val="11"/>
      <color indexed="9"/>
      <name val="Tahoma"/>
      <family val="2"/>
      <charset val="162"/>
    </font>
    <font>
      <b/>
      <sz val="10"/>
      <color indexed="9"/>
      <name val="Tahoma"/>
      <family val="2"/>
      <charset val="162"/>
    </font>
    <font>
      <sz val="10"/>
      <name val="Arial Tur"/>
      <charset val="162"/>
    </font>
    <font>
      <b/>
      <sz val="8"/>
      <color indexed="8"/>
      <name val="Tahoma"/>
      <family val="2"/>
      <charset val="162"/>
    </font>
    <font>
      <b/>
      <sz val="9.5"/>
      <color indexed="8"/>
      <name val="Tahoma"/>
      <family val="2"/>
      <charset val="162"/>
    </font>
    <font>
      <b/>
      <sz val="9.5"/>
      <color indexed="10"/>
      <name val="Tahoma"/>
      <family val="2"/>
      <charset val="162"/>
    </font>
    <font>
      <b/>
      <sz val="10"/>
      <color theme="0"/>
      <name val="Tahoma"/>
      <family val="2"/>
      <charset val="162"/>
    </font>
    <font>
      <b/>
      <sz val="9.5"/>
      <color indexed="9"/>
      <name val="Tahoma"/>
      <family val="2"/>
      <charset val="162"/>
    </font>
    <font>
      <b/>
      <sz val="9.5"/>
      <color theme="0"/>
      <name val="Tahoma"/>
      <family val="2"/>
      <charset val="162"/>
    </font>
    <font>
      <sz val="11"/>
      <color theme="1"/>
      <name val="Calibri"/>
      <family val="2"/>
      <charset val="16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7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theme="6" tint="-0.499984740745262"/>
        <bgColor indexed="31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00000"/>
        <bgColor indexed="9"/>
      </patternFill>
    </fill>
    <fill>
      <patternFill patternType="solid">
        <fgColor theme="3" tint="-0.49998474074526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12" fillId="0" borderId="0" applyFont="0" applyFill="0" applyBorder="0" applyAlignment="0" applyProtection="0"/>
  </cellStyleXfs>
  <cellXfs count="75">
    <xf numFmtId="0" fontId="0" fillId="0" borderId="0" xfId="0"/>
    <xf numFmtId="2" fontId="4" fillId="5" borderId="7" xfId="1" applyNumberFormat="1" applyFont="1" applyFill="1" applyBorder="1" applyAlignment="1">
      <alignment horizontal="right" vertical="center"/>
    </xf>
    <xf numFmtId="2" fontId="4" fillId="5" borderId="8" xfId="1" applyNumberFormat="1" applyFont="1" applyFill="1" applyBorder="1" applyAlignment="1">
      <alignment horizontal="right" vertical="center"/>
    </xf>
    <xf numFmtId="3" fontId="7" fillId="6" borderId="0" xfId="3" applyNumberFormat="1" applyFont="1" applyFill="1" applyBorder="1" applyAlignment="1">
      <alignment horizontal="right" vertical="center"/>
    </xf>
    <xf numFmtId="3" fontId="8" fillId="6" borderId="0" xfId="3" applyNumberFormat="1" applyFont="1" applyFill="1" applyBorder="1" applyAlignment="1">
      <alignment horizontal="right" vertical="center"/>
    </xf>
    <xf numFmtId="3" fontId="8" fillId="6" borderId="5" xfId="3" applyNumberFormat="1" applyFont="1" applyFill="1" applyBorder="1" applyAlignment="1">
      <alignment horizontal="right" vertical="center"/>
    </xf>
    <xf numFmtId="165" fontId="6" fillId="4" borderId="4" xfId="3" applyNumberFormat="1" applyFont="1" applyFill="1" applyBorder="1" applyAlignment="1">
      <alignment horizontal="left"/>
    </xf>
    <xf numFmtId="3" fontId="7" fillId="4" borderId="0" xfId="3" applyNumberFormat="1" applyFont="1" applyFill="1" applyBorder="1" applyAlignment="1">
      <alignment horizontal="right" vertical="center"/>
    </xf>
    <xf numFmtId="3" fontId="8" fillId="4" borderId="0" xfId="3" applyNumberFormat="1" applyFont="1" applyFill="1" applyBorder="1" applyAlignment="1">
      <alignment horizontal="right" vertical="center"/>
    </xf>
    <xf numFmtId="3" fontId="8" fillId="4" borderId="5" xfId="3" applyNumberFormat="1" applyFont="1" applyFill="1" applyBorder="1" applyAlignment="1">
      <alignment horizontal="right" vertical="center"/>
    </xf>
    <xf numFmtId="165" fontId="6" fillId="7" borderId="4" xfId="3" applyNumberFormat="1" applyFont="1" applyFill="1" applyBorder="1" applyAlignment="1">
      <alignment horizontal="left"/>
    </xf>
    <xf numFmtId="0" fontId="9" fillId="8" borderId="4" xfId="3" applyNumberFormat="1" applyFont="1" applyFill="1" applyBorder="1" applyAlignment="1">
      <alignment horizontal="left" vertical="center"/>
    </xf>
    <xf numFmtId="3" fontId="10" fillId="9" borderId="0" xfId="3" applyNumberFormat="1" applyFont="1" applyFill="1" applyBorder="1" applyAlignment="1">
      <alignment horizontal="right" vertical="center"/>
    </xf>
    <xf numFmtId="166" fontId="10" fillId="9" borderId="0" xfId="4" applyNumberFormat="1" applyFont="1" applyFill="1" applyBorder="1" applyAlignment="1">
      <alignment horizontal="right" vertical="center"/>
    </xf>
    <xf numFmtId="0" fontId="4" fillId="10" borderId="4" xfId="3" applyNumberFormat="1" applyFont="1" applyFill="1" applyBorder="1" applyAlignment="1">
      <alignment horizontal="left" vertical="center"/>
    </xf>
    <xf numFmtId="3" fontId="10" fillId="5" borderId="0" xfId="3" applyNumberFormat="1" applyFont="1" applyFill="1" applyBorder="1" applyAlignment="1">
      <alignment horizontal="right" vertical="center"/>
    </xf>
    <xf numFmtId="166" fontId="10" fillId="5" borderId="0" xfId="4" applyNumberFormat="1" applyFont="1" applyFill="1" applyBorder="1" applyAlignment="1">
      <alignment horizontal="right" vertical="center"/>
    </xf>
    <xf numFmtId="166" fontId="10" fillId="5" borderId="5" xfId="4" applyNumberFormat="1" applyFont="1" applyFill="1" applyBorder="1" applyAlignment="1">
      <alignment horizontal="right" vertical="center"/>
    </xf>
    <xf numFmtId="167" fontId="10" fillId="11" borderId="0" xfId="2" applyNumberFormat="1" applyFont="1" applyFill="1" applyBorder="1" applyAlignment="1">
      <alignment vertical="center"/>
    </xf>
    <xf numFmtId="0" fontId="4" fillId="10" borderId="9" xfId="5" applyFont="1" applyFill="1" applyBorder="1" applyAlignment="1">
      <alignment horizontal="left" vertical="center"/>
    </xf>
    <xf numFmtId="3" fontId="11" fillId="9" borderId="0" xfId="3" applyNumberFormat="1" applyFont="1" applyFill="1" applyBorder="1" applyAlignment="1">
      <alignment horizontal="right" vertical="center"/>
    </xf>
    <xf numFmtId="166" fontId="10" fillId="9" borderId="5" xfId="4" applyNumberFormat="1" applyFont="1" applyFill="1" applyBorder="1" applyAlignment="1">
      <alignment horizontal="right" vertical="center"/>
    </xf>
    <xf numFmtId="0" fontId="0" fillId="0" borderId="4" xfId="0" applyBorder="1"/>
    <xf numFmtId="1" fontId="0" fillId="0" borderId="0" xfId="0" applyNumberFormat="1"/>
    <xf numFmtId="168" fontId="0" fillId="0" borderId="0" xfId="0" applyNumberFormat="1"/>
    <xf numFmtId="0" fontId="0" fillId="0" borderId="0" xfId="0" applyAlignment="1">
      <alignment vertical="center"/>
    </xf>
    <xf numFmtId="0" fontId="4" fillId="11" borderId="4" xfId="1" applyNumberFormat="1" applyFont="1" applyFill="1" applyBorder="1" applyAlignment="1">
      <alignment horizontal="left" vertical="center"/>
    </xf>
    <xf numFmtId="3" fontId="10" fillId="11" borderId="0" xfId="3" applyNumberFormat="1" applyFont="1" applyFill="1" applyBorder="1" applyAlignment="1">
      <alignment horizontal="right" vertical="center"/>
    </xf>
    <xf numFmtId="166" fontId="10" fillId="11" borderId="0" xfId="2" applyNumberFormat="1" applyFont="1" applyFill="1" applyBorder="1" applyAlignment="1">
      <alignment vertical="center"/>
    </xf>
    <xf numFmtId="166" fontId="10" fillId="11" borderId="5" xfId="2" applyNumberFormat="1" applyFont="1" applyFill="1" applyBorder="1" applyAlignment="1">
      <alignment vertical="center"/>
    </xf>
    <xf numFmtId="166" fontId="10" fillId="5" borderId="0" xfId="4" applyNumberFormat="1" applyFont="1" applyFill="1" applyBorder="1" applyAlignment="1">
      <alignment vertical="center"/>
    </xf>
    <xf numFmtId="166" fontId="10" fillId="5" borderId="5" xfId="4" applyNumberFormat="1" applyFont="1" applyFill="1" applyBorder="1" applyAlignment="1">
      <alignment vertical="center"/>
    </xf>
    <xf numFmtId="166" fontId="10" fillId="5" borderId="11" xfId="5" applyNumberFormat="1" applyFont="1" applyFill="1" applyBorder="1"/>
    <xf numFmtId="166" fontId="10" fillId="5" borderId="0" xfId="3" applyNumberFormat="1" applyFont="1" applyFill="1" applyBorder="1" applyAlignment="1">
      <alignment horizontal="right" vertical="center"/>
    </xf>
    <xf numFmtId="3" fontId="11" fillId="11" borderId="0" xfId="3" applyNumberFormat="1" applyFont="1" applyFill="1" applyBorder="1" applyAlignment="1">
      <alignment horizontal="right" vertical="center"/>
    </xf>
    <xf numFmtId="3" fontId="10" fillId="5" borderId="10" xfId="5" applyNumberFormat="1" applyFont="1" applyFill="1" applyBorder="1" applyAlignment="1">
      <alignment horizontal="right"/>
    </xf>
    <xf numFmtId="3" fontId="10" fillId="5" borderId="10" xfId="5" applyNumberFormat="1" applyFont="1" applyFill="1" applyBorder="1" applyAlignment="1">
      <alignment horizontal="right" vertical="center"/>
    </xf>
    <xf numFmtId="3" fontId="10" fillId="5" borderId="10" xfId="5" applyNumberFormat="1" applyFont="1" applyFill="1" applyBorder="1" applyAlignment="1">
      <alignment vertical="center"/>
    </xf>
    <xf numFmtId="166" fontId="10" fillId="5" borderId="10" xfId="5" applyNumberFormat="1" applyFont="1" applyFill="1" applyBorder="1"/>
    <xf numFmtId="165" fontId="6" fillId="6" borderId="4" xfId="3" applyNumberFormat="1" applyFont="1" applyFill="1" applyBorder="1" applyAlignment="1">
      <alignment horizontal="left"/>
    </xf>
    <xf numFmtId="4" fontId="7" fillId="6" borderId="0" xfId="3" applyNumberFormat="1" applyFont="1" applyFill="1" applyBorder="1" applyAlignment="1">
      <alignment horizontal="right" vertical="center"/>
    </xf>
    <xf numFmtId="166" fontId="7" fillId="4" borderId="0" xfId="3" applyNumberFormat="1" applyFont="1" applyFill="1" applyBorder="1" applyAlignment="1">
      <alignment horizontal="right" vertical="center"/>
    </xf>
    <xf numFmtId="166" fontId="7" fillId="6" borderId="0" xfId="3" applyNumberFormat="1" applyFont="1" applyFill="1" applyBorder="1" applyAlignment="1">
      <alignment horizontal="right" vertical="center"/>
    </xf>
    <xf numFmtId="169" fontId="7" fillId="4" borderId="0" xfId="3" applyNumberFormat="1" applyFont="1" applyFill="1" applyBorder="1" applyAlignment="1">
      <alignment horizontal="right" vertical="center"/>
    </xf>
    <xf numFmtId="4" fontId="7" fillId="4" borderId="0" xfId="3" applyNumberFormat="1" applyFont="1" applyFill="1" applyBorder="1" applyAlignment="1">
      <alignment horizontal="right" vertical="center"/>
    </xf>
    <xf numFmtId="169" fontId="7" fillId="6" borderId="0" xfId="3" applyNumberFormat="1" applyFont="1" applyFill="1" applyBorder="1" applyAlignment="1">
      <alignment horizontal="right" vertical="center"/>
    </xf>
    <xf numFmtId="170" fontId="0" fillId="0" borderId="0" xfId="6" applyNumberFormat="1" applyFont="1"/>
    <xf numFmtId="0" fontId="0" fillId="0" borderId="2" xfId="0" applyBorder="1" applyAlignment="1">
      <alignment wrapText="1"/>
    </xf>
    <xf numFmtId="0" fontId="9" fillId="0" borderId="0" xfId="3" applyNumberFormat="1" applyFont="1" applyFill="1" applyBorder="1" applyAlignment="1">
      <alignment vertical="center"/>
    </xf>
    <xf numFmtId="0" fontId="9" fillId="0" borderId="4" xfId="3" applyNumberFormat="1" applyFont="1" applyFill="1" applyBorder="1" applyAlignment="1">
      <alignment horizontal="left" vertical="center"/>
    </xf>
    <xf numFmtId="3" fontId="4" fillId="0" borderId="0" xfId="3" applyNumberFormat="1" applyFont="1" applyFill="1" applyBorder="1" applyAlignment="1">
      <alignment horizontal="right" vertical="center"/>
    </xf>
    <xf numFmtId="166" fontId="4" fillId="0" borderId="0" xfId="4" applyNumberFormat="1" applyFont="1" applyFill="1" applyBorder="1" applyAlignment="1">
      <alignment horizontal="right" vertical="center"/>
    </xf>
    <xf numFmtId="0" fontId="4" fillId="0" borderId="4" xfId="3" applyNumberFormat="1" applyFont="1" applyFill="1" applyBorder="1" applyAlignment="1">
      <alignment horizontal="left" vertical="center"/>
    </xf>
    <xf numFmtId="165" fontId="10" fillId="0" borderId="4" xfId="2" applyNumberFormat="1" applyFont="1" applyFill="1" applyBorder="1" applyAlignment="1">
      <alignment vertical="center"/>
    </xf>
    <xf numFmtId="165" fontId="10" fillId="0" borderId="0" xfId="2" applyNumberFormat="1" applyFont="1" applyFill="1" applyBorder="1" applyAlignment="1">
      <alignment vertical="center"/>
    </xf>
    <xf numFmtId="165" fontId="10" fillId="0" borderId="5" xfId="2" applyNumberFormat="1" applyFont="1" applyFill="1" applyBorder="1" applyAlignment="1">
      <alignment vertical="center"/>
    </xf>
    <xf numFmtId="165" fontId="10" fillId="0" borderId="9" xfId="2" applyNumberFormat="1" applyFont="1" applyFill="1" applyBorder="1" applyAlignment="1">
      <alignment vertical="center"/>
    </xf>
    <xf numFmtId="165" fontId="10" fillId="0" borderId="10" xfId="2" applyNumberFormat="1" applyFont="1" applyFill="1" applyBorder="1" applyAlignment="1">
      <alignment vertical="center"/>
    </xf>
    <xf numFmtId="165" fontId="10" fillId="0" borderId="11" xfId="2" applyNumberFormat="1" applyFont="1" applyFill="1" applyBorder="1" applyAlignment="1">
      <alignment vertical="center"/>
    </xf>
    <xf numFmtId="165" fontId="2" fillId="4" borderId="1" xfId="1" applyNumberFormat="1" applyFont="1" applyFill="1" applyBorder="1" applyAlignment="1">
      <alignment horizontal="center" vertical="center"/>
    </xf>
    <xf numFmtId="165" fontId="2" fillId="4" borderId="2" xfId="1" applyNumberFormat="1" applyFont="1" applyFill="1" applyBorder="1" applyAlignment="1">
      <alignment horizontal="center" vertical="center"/>
    </xf>
    <xf numFmtId="165" fontId="2" fillId="4" borderId="3" xfId="1" applyNumberFormat="1" applyFont="1" applyFill="1" applyBorder="1" applyAlignment="1">
      <alignment horizontal="center" vertical="center"/>
    </xf>
    <xf numFmtId="165" fontId="3" fillId="5" borderId="4" xfId="1" applyNumberFormat="1" applyFont="1" applyFill="1" applyBorder="1" applyAlignment="1">
      <alignment horizontal="left" vertical="center"/>
    </xf>
    <xf numFmtId="165" fontId="3" fillId="5" borderId="6" xfId="1" applyNumberFormat="1" applyFont="1" applyFill="1" applyBorder="1" applyAlignment="1">
      <alignment horizontal="left" vertical="center"/>
    </xf>
    <xf numFmtId="0" fontId="4" fillId="5" borderId="0" xfId="1" applyFont="1" applyFill="1" applyBorder="1" applyAlignment="1" applyProtection="1">
      <alignment horizontal="center" vertical="center" wrapText="1"/>
    </xf>
    <xf numFmtId="0" fontId="4" fillId="5" borderId="0" xfId="1" applyFont="1" applyFill="1" applyBorder="1" applyAlignment="1" applyProtection="1">
      <alignment horizontal="center" vertical="center"/>
    </xf>
    <xf numFmtId="0" fontId="4" fillId="5" borderId="5" xfId="1" applyFont="1" applyFill="1" applyBorder="1" applyAlignment="1" applyProtection="1">
      <alignment horizontal="center" vertical="center"/>
    </xf>
    <xf numFmtId="165" fontId="10" fillId="4" borderId="4" xfId="2" applyNumberFormat="1" applyFont="1" applyFill="1" applyBorder="1" applyAlignment="1">
      <alignment horizontal="center" vertical="center"/>
    </xf>
    <xf numFmtId="165" fontId="10" fillId="4" borderId="0" xfId="2" applyNumberFormat="1" applyFont="1" applyFill="1" applyBorder="1" applyAlignment="1">
      <alignment horizontal="center" vertical="center"/>
    </xf>
    <xf numFmtId="165" fontId="10" fillId="4" borderId="5" xfId="2" applyNumberFormat="1" applyFont="1" applyFill="1" applyBorder="1" applyAlignment="1">
      <alignment horizontal="center" vertical="center"/>
    </xf>
    <xf numFmtId="165" fontId="10" fillId="4" borderId="9" xfId="2" applyNumberFormat="1" applyFont="1" applyFill="1" applyBorder="1" applyAlignment="1">
      <alignment horizontal="center" vertical="center"/>
    </xf>
    <xf numFmtId="165" fontId="10" fillId="4" borderId="10" xfId="2" applyNumberFormat="1" applyFont="1" applyFill="1" applyBorder="1" applyAlignment="1">
      <alignment horizontal="center" vertical="center"/>
    </xf>
    <xf numFmtId="165" fontId="10" fillId="4" borderId="11" xfId="2" applyNumberFormat="1" applyFont="1" applyFill="1" applyBorder="1" applyAlignment="1">
      <alignment horizontal="center" vertical="center"/>
    </xf>
    <xf numFmtId="165" fontId="3" fillId="5" borderId="4" xfId="1" applyNumberFormat="1" applyFont="1" applyFill="1" applyBorder="1" applyAlignment="1">
      <alignment horizontal="center" vertical="center"/>
    </xf>
    <xf numFmtId="165" fontId="3" fillId="5" borderId="6" xfId="1" applyNumberFormat="1" applyFont="1" applyFill="1" applyBorder="1" applyAlignment="1">
      <alignment horizontal="center" vertical="center"/>
    </xf>
  </cellXfs>
  <cellStyles count="7">
    <cellStyle name="Accent1" xfId="1" builtinId="29"/>
    <cellStyle name="Accent4" xfId="2" builtinId="41"/>
    <cellStyle name="Binlik Ayracı 2" xfId="3" xr:uid="{00000000-0005-0000-0000-000000000000}"/>
    <cellStyle name="Normal" xfId="0" builtinId="0"/>
    <cellStyle name="Normal 2" xfId="5" xr:uid="{00000000-0005-0000-0000-000002000000}"/>
    <cellStyle name="Virgül 2" xfId="6" xr:uid="{00000000-0005-0000-0000-000003000000}"/>
    <cellStyle name="Yüzde 2" xfId="4" xr:uid="{00000000-0005-0000-0000-000006000000}"/>
  </cellStyles>
  <dxfs count="5">
    <dxf>
      <numFmt numFmtId="171" formatCode="0;;;@"/>
    </dxf>
    <dxf>
      <numFmt numFmtId="171" formatCode="0;;;@"/>
    </dxf>
    <dxf>
      <numFmt numFmtId="171" formatCode="0;;;@"/>
    </dxf>
    <dxf>
      <numFmt numFmtId="171" formatCode="0;;;@"/>
    </dxf>
    <dxf>
      <numFmt numFmtId="171" formatCode="0;;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6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71"/>
  <sheetViews>
    <sheetView topLeftCell="A32" zoomScale="55" zoomScaleNormal="55" workbookViewId="0">
      <selection activeCell="R59" sqref="R59"/>
    </sheetView>
  </sheetViews>
  <sheetFormatPr defaultRowHeight="14.4" x14ac:dyDescent="0.3"/>
  <cols>
    <col min="1" max="1" width="36.6640625" bestFit="1" customWidth="1"/>
    <col min="2" max="10" width="14.33203125" customWidth="1"/>
  </cols>
  <sheetData>
    <row r="1" spans="1:10" ht="22.5" customHeight="1" x14ac:dyDescent="0.3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1"/>
    </row>
    <row r="2" spans="1:10" ht="27" customHeight="1" x14ac:dyDescent="0.3">
      <c r="A2" s="62" t="s">
        <v>1</v>
      </c>
      <c r="B2" s="64" t="s">
        <v>64</v>
      </c>
      <c r="C2" s="64"/>
      <c r="D2" s="64"/>
      <c r="E2" s="64" t="s">
        <v>65</v>
      </c>
      <c r="F2" s="64"/>
      <c r="G2" s="64"/>
      <c r="H2" s="65"/>
      <c r="I2" s="65"/>
      <c r="J2" s="66"/>
    </row>
    <row r="3" spans="1:10" x14ac:dyDescent="0.3">
      <c r="A3" s="63"/>
      <c r="B3" s="1" t="s">
        <v>2</v>
      </c>
      <c r="C3" s="1" t="s">
        <v>3</v>
      </c>
      <c r="D3" s="1" t="s">
        <v>4</v>
      </c>
      <c r="E3" s="1" t="s">
        <v>2</v>
      </c>
      <c r="F3" s="1" t="s">
        <v>3</v>
      </c>
      <c r="G3" s="1" t="s">
        <v>4</v>
      </c>
      <c r="H3" s="1"/>
      <c r="I3" s="1"/>
      <c r="J3" s="2"/>
    </row>
    <row r="4" spans="1:10" x14ac:dyDescent="0.3">
      <c r="A4" s="10" t="s">
        <v>5</v>
      </c>
      <c r="B4" s="3">
        <v>10248</v>
      </c>
      <c r="C4" s="3">
        <v>27220</v>
      </c>
      <c r="D4" s="3">
        <v>37468</v>
      </c>
      <c r="E4" s="3">
        <v>13327</v>
      </c>
      <c r="F4" s="3">
        <v>27705</v>
      </c>
      <c r="G4" s="3">
        <v>41032</v>
      </c>
      <c r="H4" s="4"/>
      <c r="I4" s="4"/>
      <c r="J4" s="5"/>
    </row>
    <row r="5" spans="1:10" x14ac:dyDescent="0.3">
      <c r="A5" s="6" t="s">
        <v>59</v>
      </c>
      <c r="B5" s="7">
        <v>59752</v>
      </c>
      <c r="C5" s="7">
        <v>125672</v>
      </c>
      <c r="D5" s="7">
        <v>185424</v>
      </c>
      <c r="E5" s="7">
        <v>79834</v>
      </c>
      <c r="F5" s="7">
        <v>199675</v>
      </c>
      <c r="G5" s="7">
        <v>279509</v>
      </c>
      <c r="H5" s="8"/>
      <c r="I5" s="8"/>
      <c r="J5" s="9"/>
    </row>
    <row r="6" spans="1:10" x14ac:dyDescent="0.3">
      <c r="A6" s="10" t="s">
        <v>48</v>
      </c>
      <c r="B6" s="3">
        <v>83521</v>
      </c>
      <c r="C6" s="3">
        <v>42789</v>
      </c>
      <c r="D6" s="3">
        <v>126310</v>
      </c>
      <c r="E6" s="3">
        <v>111456</v>
      </c>
      <c r="F6" s="3">
        <v>69877</v>
      </c>
      <c r="G6" s="3">
        <v>181333</v>
      </c>
      <c r="H6" s="4"/>
      <c r="I6" s="4"/>
      <c r="J6" s="5"/>
    </row>
    <row r="7" spans="1:10" x14ac:dyDescent="0.3">
      <c r="A7" s="6" t="s">
        <v>6</v>
      </c>
      <c r="B7" s="7">
        <v>41321</v>
      </c>
      <c r="C7" s="7">
        <v>9073</v>
      </c>
      <c r="D7" s="7">
        <v>50394</v>
      </c>
      <c r="E7" s="7">
        <v>52753</v>
      </c>
      <c r="F7" s="7">
        <v>14160</v>
      </c>
      <c r="G7" s="7">
        <v>66913</v>
      </c>
      <c r="H7" s="8"/>
      <c r="I7" s="8"/>
      <c r="J7" s="9"/>
    </row>
    <row r="8" spans="1:10" x14ac:dyDescent="0.3">
      <c r="A8" s="10" t="s">
        <v>7</v>
      </c>
      <c r="B8" s="3">
        <v>36236</v>
      </c>
      <c r="C8" s="3">
        <v>9765</v>
      </c>
      <c r="D8" s="3">
        <v>46001</v>
      </c>
      <c r="E8" s="3">
        <v>43136</v>
      </c>
      <c r="F8" s="3">
        <v>15163</v>
      </c>
      <c r="G8" s="3">
        <v>58299</v>
      </c>
      <c r="H8" s="4"/>
      <c r="I8" s="4"/>
      <c r="J8" s="5"/>
    </row>
    <row r="9" spans="1:10" x14ac:dyDescent="0.3">
      <c r="A9" s="6" t="s">
        <v>8</v>
      </c>
      <c r="B9" s="7">
        <v>29919</v>
      </c>
      <c r="C9" s="7">
        <v>41261</v>
      </c>
      <c r="D9" s="7">
        <v>71180</v>
      </c>
      <c r="E9" s="7">
        <v>40495</v>
      </c>
      <c r="F9" s="7">
        <v>100081</v>
      </c>
      <c r="G9" s="7">
        <v>140576</v>
      </c>
      <c r="H9" s="8"/>
      <c r="I9" s="8"/>
      <c r="J9" s="9"/>
    </row>
    <row r="10" spans="1:10" x14ac:dyDescent="0.3">
      <c r="A10" s="10" t="s">
        <v>49</v>
      </c>
      <c r="B10" s="3">
        <v>2118</v>
      </c>
      <c r="C10" s="3">
        <v>512</v>
      </c>
      <c r="D10" s="3">
        <v>2630</v>
      </c>
      <c r="E10" s="3">
        <v>3600</v>
      </c>
      <c r="F10" s="3">
        <v>1900</v>
      </c>
      <c r="G10" s="3">
        <v>5500</v>
      </c>
      <c r="H10" s="4"/>
      <c r="I10" s="4"/>
      <c r="J10" s="5"/>
    </row>
    <row r="11" spans="1:10" x14ac:dyDescent="0.3">
      <c r="A11" s="6" t="s">
        <v>9</v>
      </c>
      <c r="B11" s="7">
        <v>16593</v>
      </c>
      <c r="C11" s="7">
        <v>7307</v>
      </c>
      <c r="D11" s="7">
        <v>23900</v>
      </c>
      <c r="E11" s="7">
        <v>24254</v>
      </c>
      <c r="F11" s="7">
        <v>7468</v>
      </c>
      <c r="G11" s="7">
        <v>31722</v>
      </c>
      <c r="H11" s="8"/>
      <c r="I11" s="8"/>
      <c r="J11" s="9"/>
    </row>
    <row r="12" spans="1:10" x14ac:dyDescent="0.3">
      <c r="A12" s="10" t="s">
        <v>10</v>
      </c>
      <c r="B12" s="3">
        <v>12349</v>
      </c>
      <c r="C12" s="3">
        <v>5788</v>
      </c>
      <c r="D12" s="3">
        <v>18137</v>
      </c>
      <c r="E12" s="3">
        <v>19254</v>
      </c>
      <c r="F12" s="3">
        <v>10501</v>
      </c>
      <c r="G12" s="3">
        <v>29755</v>
      </c>
      <c r="H12" s="4"/>
      <c r="I12" s="4"/>
      <c r="J12" s="5"/>
    </row>
    <row r="13" spans="1:10" x14ac:dyDescent="0.3">
      <c r="A13" s="6" t="s">
        <v>11</v>
      </c>
      <c r="B13" s="7">
        <v>25268</v>
      </c>
      <c r="C13" s="7">
        <v>2271</v>
      </c>
      <c r="D13" s="7">
        <v>27539</v>
      </c>
      <c r="E13" s="7">
        <v>32730</v>
      </c>
      <c r="F13" s="7">
        <v>4231</v>
      </c>
      <c r="G13" s="7">
        <v>36961</v>
      </c>
      <c r="H13" s="8"/>
      <c r="I13" s="8"/>
      <c r="J13" s="9"/>
    </row>
    <row r="14" spans="1:10" x14ac:dyDescent="0.3">
      <c r="A14" s="10" t="s">
        <v>12</v>
      </c>
      <c r="B14" s="3">
        <v>12856</v>
      </c>
      <c r="C14" s="3">
        <v>1307</v>
      </c>
      <c r="D14" s="3">
        <v>14163</v>
      </c>
      <c r="E14" s="3">
        <v>17632</v>
      </c>
      <c r="F14" s="3">
        <v>3326</v>
      </c>
      <c r="G14" s="3">
        <v>20958</v>
      </c>
      <c r="H14" s="4"/>
      <c r="I14" s="4"/>
      <c r="J14" s="5"/>
    </row>
    <row r="15" spans="1:10" x14ac:dyDescent="0.3">
      <c r="A15" s="6" t="s">
        <v>13</v>
      </c>
      <c r="B15" s="7">
        <v>4782</v>
      </c>
      <c r="C15" s="7">
        <v>117</v>
      </c>
      <c r="D15" s="7">
        <v>4899</v>
      </c>
      <c r="E15" s="7">
        <v>6489</v>
      </c>
      <c r="F15" s="7">
        <v>111</v>
      </c>
      <c r="G15" s="7">
        <v>6600</v>
      </c>
      <c r="H15" s="8"/>
      <c r="I15" s="8"/>
      <c r="J15" s="9"/>
    </row>
    <row r="16" spans="1:10" x14ac:dyDescent="0.3">
      <c r="A16" s="10" t="s">
        <v>14</v>
      </c>
      <c r="B16" s="3">
        <v>13505</v>
      </c>
      <c r="C16" s="3">
        <v>1078</v>
      </c>
      <c r="D16" s="3">
        <v>14583</v>
      </c>
      <c r="E16" s="3">
        <v>15060</v>
      </c>
      <c r="F16" s="3">
        <v>1409</v>
      </c>
      <c r="G16" s="3">
        <v>16469</v>
      </c>
      <c r="H16" s="4"/>
      <c r="I16" s="4"/>
      <c r="J16" s="5"/>
    </row>
    <row r="17" spans="1:10" x14ac:dyDescent="0.3">
      <c r="A17" s="6" t="s">
        <v>15</v>
      </c>
      <c r="B17" s="7">
        <v>1235</v>
      </c>
      <c r="C17" s="7">
        <v>11</v>
      </c>
      <c r="D17" s="7">
        <v>1246</v>
      </c>
      <c r="E17" s="7">
        <v>1340</v>
      </c>
      <c r="F17" s="7">
        <v>1</v>
      </c>
      <c r="G17" s="7">
        <v>1341</v>
      </c>
      <c r="H17" s="8"/>
      <c r="I17" s="8"/>
      <c r="J17" s="9"/>
    </row>
    <row r="18" spans="1:10" x14ac:dyDescent="0.3">
      <c r="A18" s="10" t="s">
        <v>16</v>
      </c>
      <c r="B18" s="3">
        <v>1723</v>
      </c>
      <c r="C18" s="3">
        <v>4</v>
      </c>
      <c r="D18" s="3">
        <v>1727</v>
      </c>
      <c r="E18" s="3">
        <v>1894</v>
      </c>
      <c r="F18" s="3">
        <v>1</v>
      </c>
      <c r="G18" s="3">
        <v>1895</v>
      </c>
      <c r="H18" s="4"/>
      <c r="I18" s="4"/>
      <c r="J18" s="5"/>
    </row>
    <row r="19" spans="1:10" x14ac:dyDescent="0.3">
      <c r="A19" s="6" t="s">
        <v>17</v>
      </c>
      <c r="B19" s="7">
        <v>791</v>
      </c>
      <c r="C19" s="7">
        <v>56</v>
      </c>
      <c r="D19" s="7">
        <v>847</v>
      </c>
      <c r="E19" s="7">
        <v>845</v>
      </c>
      <c r="F19" s="7">
        <v>193</v>
      </c>
      <c r="G19" s="7">
        <v>1038</v>
      </c>
      <c r="H19" s="8"/>
      <c r="I19" s="8"/>
      <c r="J19" s="9"/>
    </row>
    <row r="20" spans="1:10" x14ac:dyDescent="0.3">
      <c r="A20" s="10" t="s">
        <v>50</v>
      </c>
      <c r="B20" s="3">
        <v>20452</v>
      </c>
      <c r="C20" s="3">
        <v>0</v>
      </c>
      <c r="D20" s="3">
        <v>20452</v>
      </c>
      <c r="E20" s="3">
        <v>28088</v>
      </c>
      <c r="F20" s="3">
        <v>0</v>
      </c>
      <c r="G20" s="3">
        <v>28088</v>
      </c>
      <c r="H20" s="4"/>
      <c r="I20" s="4"/>
      <c r="J20" s="5"/>
    </row>
    <row r="21" spans="1:10" x14ac:dyDescent="0.3">
      <c r="A21" s="6" t="s">
        <v>18</v>
      </c>
      <c r="B21" s="7">
        <v>15443</v>
      </c>
      <c r="C21" s="7">
        <v>62</v>
      </c>
      <c r="D21" s="7">
        <v>15505</v>
      </c>
      <c r="E21" s="7">
        <v>20700</v>
      </c>
      <c r="F21" s="7">
        <v>51</v>
      </c>
      <c r="G21" s="7">
        <v>20751</v>
      </c>
      <c r="H21" s="8"/>
      <c r="I21" s="8"/>
      <c r="J21" s="9"/>
    </row>
    <row r="22" spans="1:10" x14ac:dyDescent="0.3">
      <c r="A22" s="10" t="s">
        <v>19</v>
      </c>
      <c r="B22" s="3">
        <v>85</v>
      </c>
      <c r="C22" s="3">
        <v>0</v>
      </c>
      <c r="D22" s="3">
        <v>85</v>
      </c>
      <c r="E22" s="3">
        <v>70</v>
      </c>
      <c r="F22" s="3">
        <v>0</v>
      </c>
      <c r="G22" s="3">
        <v>70</v>
      </c>
      <c r="H22" s="4"/>
      <c r="I22" s="4"/>
      <c r="J22" s="5"/>
    </row>
    <row r="23" spans="1:10" x14ac:dyDescent="0.3">
      <c r="A23" s="6" t="s">
        <v>20</v>
      </c>
      <c r="B23" s="7">
        <v>2696</v>
      </c>
      <c r="C23" s="7">
        <v>9</v>
      </c>
      <c r="D23" s="7">
        <v>2705</v>
      </c>
      <c r="E23" s="7">
        <v>3653</v>
      </c>
      <c r="F23" s="7">
        <v>2</v>
      </c>
      <c r="G23" s="7">
        <v>3655</v>
      </c>
      <c r="H23" s="8"/>
      <c r="I23" s="8"/>
      <c r="J23" s="9"/>
    </row>
    <row r="24" spans="1:10" x14ac:dyDescent="0.3">
      <c r="A24" s="10" t="s">
        <v>21</v>
      </c>
      <c r="B24" s="3">
        <v>1104</v>
      </c>
      <c r="C24" s="3">
        <v>4</v>
      </c>
      <c r="D24" s="3">
        <v>1108</v>
      </c>
      <c r="E24" s="3">
        <v>1385</v>
      </c>
      <c r="F24" s="3">
        <v>1</v>
      </c>
      <c r="G24" s="3">
        <v>1386</v>
      </c>
      <c r="H24" s="4"/>
      <c r="I24" s="4"/>
      <c r="J24" s="5"/>
    </row>
    <row r="25" spans="1:10" x14ac:dyDescent="0.3">
      <c r="A25" s="6" t="s">
        <v>22</v>
      </c>
      <c r="B25" s="7">
        <v>11025</v>
      </c>
      <c r="C25" s="7">
        <v>111</v>
      </c>
      <c r="D25" s="7">
        <v>11136</v>
      </c>
      <c r="E25" s="7">
        <v>15378</v>
      </c>
      <c r="F25" s="7">
        <v>144</v>
      </c>
      <c r="G25" s="7">
        <v>15522</v>
      </c>
      <c r="H25" s="8"/>
      <c r="I25" s="8"/>
      <c r="J25" s="9"/>
    </row>
    <row r="26" spans="1:10" x14ac:dyDescent="0.3">
      <c r="A26" s="10" t="s">
        <v>23</v>
      </c>
      <c r="B26" s="3">
        <v>4663</v>
      </c>
      <c r="C26" s="3">
        <v>19</v>
      </c>
      <c r="D26" s="3">
        <v>4682</v>
      </c>
      <c r="E26" s="3">
        <v>5597</v>
      </c>
      <c r="F26" s="3">
        <v>21</v>
      </c>
      <c r="G26" s="3">
        <v>5618</v>
      </c>
      <c r="H26" s="4"/>
      <c r="I26" s="4"/>
      <c r="J26" s="5"/>
    </row>
    <row r="27" spans="1:10" x14ac:dyDescent="0.3">
      <c r="A27" s="6" t="s">
        <v>24</v>
      </c>
      <c r="B27" s="7">
        <v>120</v>
      </c>
      <c r="C27" s="7">
        <v>0</v>
      </c>
      <c r="D27" s="7">
        <v>120</v>
      </c>
      <c r="E27" s="7">
        <v>297</v>
      </c>
      <c r="F27" s="7">
        <v>0</v>
      </c>
      <c r="G27" s="7">
        <v>297</v>
      </c>
      <c r="H27" s="8"/>
      <c r="I27" s="8"/>
      <c r="J27" s="9"/>
    </row>
    <row r="28" spans="1:10" x14ac:dyDescent="0.3">
      <c r="A28" s="10" t="s">
        <v>25</v>
      </c>
      <c r="B28" s="3">
        <v>5615</v>
      </c>
      <c r="C28" s="3">
        <v>93</v>
      </c>
      <c r="D28" s="3">
        <v>5708</v>
      </c>
      <c r="E28" s="3">
        <v>4346</v>
      </c>
      <c r="F28" s="3">
        <v>267</v>
      </c>
      <c r="G28" s="3">
        <v>4613</v>
      </c>
      <c r="H28" s="4"/>
      <c r="I28" s="4"/>
      <c r="J28" s="5"/>
    </row>
    <row r="29" spans="1:10" x14ac:dyDescent="0.3">
      <c r="A29" s="6" t="s">
        <v>26</v>
      </c>
      <c r="B29" s="7">
        <v>7700</v>
      </c>
      <c r="C29" s="7">
        <v>245</v>
      </c>
      <c r="D29" s="7">
        <v>7945</v>
      </c>
      <c r="E29" s="7">
        <v>8598</v>
      </c>
      <c r="F29" s="7">
        <v>475</v>
      </c>
      <c r="G29" s="7">
        <v>9073</v>
      </c>
      <c r="H29" s="8"/>
      <c r="I29" s="8"/>
      <c r="J29" s="9"/>
    </row>
    <row r="30" spans="1:10" x14ac:dyDescent="0.3">
      <c r="A30" s="10" t="s">
        <v>27</v>
      </c>
      <c r="B30" s="3">
        <v>6249</v>
      </c>
      <c r="C30" s="3">
        <v>244</v>
      </c>
      <c r="D30" s="3">
        <v>6493</v>
      </c>
      <c r="E30" s="3">
        <v>5310</v>
      </c>
      <c r="F30" s="3">
        <v>351</v>
      </c>
      <c r="G30" s="3">
        <v>5661</v>
      </c>
      <c r="H30" s="4"/>
      <c r="I30" s="4"/>
      <c r="J30" s="5"/>
    </row>
    <row r="31" spans="1:10" x14ac:dyDescent="0.3">
      <c r="A31" s="6" t="s">
        <v>63</v>
      </c>
      <c r="B31" s="7">
        <v>1887</v>
      </c>
      <c r="C31" s="7">
        <v>31</v>
      </c>
      <c r="D31" s="7">
        <v>1918</v>
      </c>
      <c r="E31" s="7">
        <v>2321</v>
      </c>
      <c r="F31" s="7">
        <v>121</v>
      </c>
      <c r="G31" s="7">
        <v>2442</v>
      </c>
      <c r="H31" s="8"/>
      <c r="I31" s="8"/>
      <c r="J31" s="9"/>
    </row>
    <row r="32" spans="1:10" x14ac:dyDescent="0.3">
      <c r="A32" s="10" t="s">
        <v>51</v>
      </c>
      <c r="B32" s="3">
        <v>3859</v>
      </c>
      <c r="C32" s="3">
        <v>421</v>
      </c>
      <c r="D32" s="3">
        <v>4280</v>
      </c>
      <c r="E32" s="3">
        <v>4124</v>
      </c>
      <c r="F32" s="3">
        <v>855</v>
      </c>
      <c r="G32" s="3">
        <v>4979</v>
      </c>
      <c r="H32" s="4"/>
      <c r="I32" s="4"/>
      <c r="J32" s="5"/>
    </row>
    <row r="33" spans="1:10" x14ac:dyDescent="0.3">
      <c r="A33" s="6" t="s">
        <v>58</v>
      </c>
      <c r="B33" s="7">
        <v>1234</v>
      </c>
      <c r="C33" s="7">
        <v>8</v>
      </c>
      <c r="D33" s="7">
        <v>1242</v>
      </c>
      <c r="E33" s="7">
        <v>1488</v>
      </c>
      <c r="F33" s="7">
        <v>0</v>
      </c>
      <c r="G33" s="7">
        <v>1488</v>
      </c>
      <c r="H33" s="8"/>
      <c r="I33" s="8"/>
      <c r="J33" s="9"/>
    </row>
    <row r="34" spans="1:10" x14ac:dyDescent="0.3">
      <c r="A34" s="10" t="s">
        <v>28</v>
      </c>
      <c r="B34" s="3">
        <v>5573</v>
      </c>
      <c r="C34" s="3">
        <v>660</v>
      </c>
      <c r="D34" s="3">
        <v>6233</v>
      </c>
      <c r="E34" s="3">
        <v>7302</v>
      </c>
      <c r="F34" s="3">
        <v>348</v>
      </c>
      <c r="G34" s="3">
        <v>7650</v>
      </c>
      <c r="H34" s="4"/>
      <c r="I34" s="4"/>
      <c r="J34" s="5"/>
    </row>
    <row r="35" spans="1:10" x14ac:dyDescent="0.3">
      <c r="A35" s="6" t="s">
        <v>57</v>
      </c>
      <c r="B35" s="7">
        <v>1757</v>
      </c>
      <c r="C35" s="7">
        <v>52</v>
      </c>
      <c r="D35" s="7">
        <v>1809</v>
      </c>
      <c r="E35" s="7">
        <v>1815</v>
      </c>
      <c r="F35" s="7">
        <v>4</v>
      </c>
      <c r="G35" s="7">
        <v>1819</v>
      </c>
      <c r="H35" s="8"/>
      <c r="I35" s="8"/>
      <c r="J35" s="9"/>
    </row>
    <row r="36" spans="1:10" x14ac:dyDescent="0.3">
      <c r="A36" s="10" t="s">
        <v>29</v>
      </c>
      <c r="B36" s="3">
        <v>23071</v>
      </c>
      <c r="C36" s="3">
        <v>90</v>
      </c>
      <c r="D36" s="3">
        <v>23161</v>
      </c>
      <c r="E36" s="3">
        <v>27505</v>
      </c>
      <c r="F36" s="3">
        <v>174</v>
      </c>
      <c r="G36" s="3">
        <v>27679</v>
      </c>
      <c r="H36" s="4"/>
      <c r="I36" s="4"/>
      <c r="J36" s="5"/>
    </row>
    <row r="37" spans="1:10" x14ac:dyDescent="0.3">
      <c r="A37" s="6" t="s">
        <v>30</v>
      </c>
      <c r="B37" s="7">
        <v>1867</v>
      </c>
      <c r="C37" s="7">
        <v>10</v>
      </c>
      <c r="D37" s="7">
        <v>1877</v>
      </c>
      <c r="E37" s="7">
        <v>2200</v>
      </c>
      <c r="F37" s="7">
        <v>30</v>
      </c>
      <c r="G37" s="7">
        <v>2230</v>
      </c>
      <c r="H37" s="8"/>
      <c r="I37" s="8"/>
      <c r="J37" s="9"/>
    </row>
    <row r="38" spans="1:10" x14ac:dyDescent="0.3">
      <c r="A38" s="10" t="s">
        <v>31</v>
      </c>
      <c r="B38" s="3">
        <v>2854</v>
      </c>
      <c r="C38" s="3">
        <v>4</v>
      </c>
      <c r="D38" s="3">
        <v>2858</v>
      </c>
      <c r="E38" s="3">
        <v>3353</v>
      </c>
      <c r="F38" s="3">
        <v>12</v>
      </c>
      <c r="G38" s="3">
        <v>3365</v>
      </c>
      <c r="H38" s="4"/>
      <c r="I38" s="4"/>
      <c r="J38" s="5"/>
    </row>
    <row r="39" spans="1:10" x14ac:dyDescent="0.3">
      <c r="A39" s="6" t="s">
        <v>32</v>
      </c>
      <c r="B39" s="7">
        <v>717</v>
      </c>
      <c r="C39" s="7">
        <v>19</v>
      </c>
      <c r="D39" s="7">
        <v>736</v>
      </c>
      <c r="E39" s="7">
        <v>830</v>
      </c>
      <c r="F39" s="7">
        <v>6</v>
      </c>
      <c r="G39" s="7">
        <v>836</v>
      </c>
      <c r="H39" s="8"/>
      <c r="I39" s="8"/>
      <c r="J39" s="9"/>
    </row>
    <row r="40" spans="1:10" x14ac:dyDescent="0.3">
      <c r="A40" s="10" t="s">
        <v>33</v>
      </c>
      <c r="B40" s="3">
        <v>7531</v>
      </c>
      <c r="C40" s="3">
        <v>1770</v>
      </c>
      <c r="D40" s="3">
        <v>9301</v>
      </c>
      <c r="E40" s="3">
        <v>10129</v>
      </c>
      <c r="F40" s="3">
        <v>3596</v>
      </c>
      <c r="G40" s="3">
        <v>13725</v>
      </c>
      <c r="H40" s="4"/>
      <c r="I40" s="4"/>
      <c r="J40" s="5"/>
    </row>
    <row r="41" spans="1:10" x14ac:dyDescent="0.3">
      <c r="A41" s="6" t="s">
        <v>34</v>
      </c>
      <c r="B41" s="7">
        <v>1465</v>
      </c>
      <c r="C41" s="7">
        <v>38</v>
      </c>
      <c r="D41" s="7">
        <v>1503</v>
      </c>
      <c r="E41" s="7">
        <v>3068</v>
      </c>
      <c r="F41" s="7">
        <v>37</v>
      </c>
      <c r="G41" s="7">
        <v>3105</v>
      </c>
      <c r="H41" s="8"/>
      <c r="I41" s="8"/>
      <c r="J41" s="9"/>
    </row>
    <row r="42" spans="1:10" x14ac:dyDescent="0.3">
      <c r="A42" s="10" t="s">
        <v>35</v>
      </c>
      <c r="B42" s="3">
        <v>3836</v>
      </c>
      <c r="C42" s="3">
        <v>520</v>
      </c>
      <c r="D42" s="3">
        <v>4356</v>
      </c>
      <c r="E42" s="3">
        <v>5467</v>
      </c>
      <c r="F42" s="3">
        <v>957</v>
      </c>
      <c r="G42" s="3">
        <v>6424</v>
      </c>
      <c r="H42" s="4"/>
      <c r="I42" s="4"/>
      <c r="J42" s="5"/>
    </row>
    <row r="43" spans="1:10" x14ac:dyDescent="0.3">
      <c r="A43" s="6" t="s">
        <v>36</v>
      </c>
      <c r="B43" s="7">
        <v>4105</v>
      </c>
      <c r="C43" s="7">
        <v>76</v>
      </c>
      <c r="D43" s="7">
        <v>4181</v>
      </c>
      <c r="E43" s="7">
        <v>5344</v>
      </c>
      <c r="F43" s="7">
        <v>134</v>
      </c>
      <c r="G43" s="7">
        <v>5478</v>
      </c>
      <c r="H43" s="8"/>
      <c r="I43" s="8"/>
      <c r="J43" s="9"/>
    </row>
    <row r="44" spans="1:10" x14ac:dyDescent="0.3">
      <c r="A44" s="10" t="s">
        <v>37</v>
      </c>
      <c r="B44" s="3">
        <v>2929</v>
      </c>
      <c r="C44" s="3">
        <v>7</v>
      </c>
      <c r="D44" s="3">
        <v>2936</v>
      </c>
      <c r="E44" s="3">
        <v>4087</v>
      </c>
      <c r="F44" s="3">
        <v>14</v>
      </c>
      <c r="G44" s="3">
        <v>4101</v>
      </c>
      <c r="H44" s="4"/>
      <c r="I44" s="4"/>
      <c r="J44" s="5"/>
    </row>
    <row r="45" spans="1:10" x14ac:dyDescent="0.3">
      <c r="A45" s="6" t="s">
        <v>60</v>
      </c>
      <c r="B45" s="7">
        <v>2163</v>
      </c>
      <c r="C45" s="7">
        <v>13</v>
      </c>
      <c r="D45" s="7">
        <v>2176</v>
      </c>
      <c r="E45" s="7">
        <v>2699</v>
      </c>
      <c r="F45" s="7">
        <v>2</v>
      </c>
      <c r="G45" s="7">
        <v>2701</v>
      </c>
      <c r="H45" s="8"/>
      <c r="I45" s="8"/>
      <c r="J45" s="9"/>
    </row>
    <row r="46" spans="1:10" x14ac:dyDescent="0.3">
      <c r="A46" s="10" t="s">
        <v>38</v>
      </c>
      <c r="B46" s="3">
        <v>11025</v>
      </c>
      <c r="C46" s="3">
        <v>59</v>
      </c>
      <c r="D46" s="3">
        <v>11084</v>
      </c>
      <c r="E46" s="3">
        <v>17822</v>
      </c>
      <c r="F46" s="3">
        <v>199</v>
      </c>
      <c r="G46" s="3">
        <v>18021</v>
      </c>
      <c r="H46" s="4"/>
      <c r="I46" s="4"/>
      <c r="J46" s="5"/>
    </row>
    <row r="47" spans="1:10" x14ac:dyDescent="0.3">
      <c r="A47" s="6" t="s">
        <v>39</v>
      </c>
      <c r="B47" s="7">
        <v>4857</v>
      </c>
      <c r="C47" s="7">
        <v>148</v>
      </c>
      <c r="D47" s="7">
        <v>5005</v>
      </c>
      <c r="E47" s="7">
        <v>5781</v>
      </c>
      <c r="F47" s="7">
        <v>29</v>
      </c>
      <c r="G47" s="7">
        <v>5810</v>
      </c>
      <c r="H47" s="8"/>
      <c r="I47" s="8"/>
      <c r="J47" s="9"/>
    </row>
    <row r="48" spans="1:10" x14ac:dyDescent="0.3">
      <c r="A48" s="10" t="s">
        <v>40</v>
      </c>
      <c r="B48" s="3">
        <v>11077</v>
      </c>
      <c r="C48" s="3">
        <v>837</v>
      </c>
      <c r="D48" s="3">
        <v>11914</v>
      </c>
      <c r="E48" s="3">
        <v>11645</v>
      </c>
      <c r="F48" s="3">
        <v>1424</v>
      </c>
      <c r="G48" s="3">
        <v>13069</v>
      </c>
      <c r="H48" s="4"/>
      <c r="I48" s="4"/>
      <c r="J48" s="5"/>
    </row>
    <row r="49" spans="1:11" x14ac:dyDescent="0.3">
      <c r="A49" s="6" t="s">
        <v>41</v>
      </c>
      <c r="B49" s="7">
        <v>440</v>
      </c>
      <c r="C49" s="7">
        <v>0</v>
      </c>
      <c r="D49" s="7">
        <v>440</v>
      </c>
      <c r="E49" s="7">
        <v>514</v>
      </c>
      <c r="F49" s="7">
        <v>0</v>
      </c>
      <c r="G49" s="7">
        <v>514</v>
      </c>
      <c r="H49" s="8"/>
      <c r="I49" s="8"/>
      <c r="J49" s="9"/>
    </row>
    <row r="50" spans="1:11" x14ac:dyDescent="0.3">
      <c r="A50" s="10" t="s">
        <v>42</v>
      </c>
      <c r="B50" s="3">
        <v>1188</v>
      </c>
      <c r="C50" s="3">
        <v>5</v>
      </c>
      <c r="D50" s="3">
        <v>1193</v>
      </c>
      <c r="E50" s="3">
        <v>2031</v>
      </c>
      <c r="F50" s="3">
        <v>25</v>
      </c>
      <c r="G50" s="3">
        <v>2056</v>
      </c>
      <c r="H50" s="4"/>
      <c r="I50" s="4"/>
      <c r="J50" s="5"/>
    </row>
    <row r="51" spans="1:11" x14ac:dyDescent="0.3">
      <c r="A51" s="6" t="s">
        <v>43</v>
      </c>
      <c r="B51" s="7">
        <v>2845</v>
      </c>
      <c r="C51" s="7">
        <v>60</v>
      </c>
      <c r="D51" s="7">
        <v>2905</v>
      </c>
      <c r="E51" s="7">
        <v>4056</v>
      </c>
      <c r="F51" s="7">
        <v>62</v>
      </c>
      <c r="G51" s="7">
        <v>4118</v>
      </c>
      <c r="H51" s="8"/>
      <c r="I51" s="8"/>
      <c r="J51" s="9"/>
    </row>
    <row r="52" spans="1:11" x14ac:dyDescent="0.3">
      <c r="A52" s="10" t="s">
        <v>62</v>
      </c>
      <c r="B52" s="3">
        <v>4323</v>
      </c>
      <c r="C52" s="3">
        <v>66</v>
      </c>
      <c r="D52" s="3">
        <v>4389</v>
      </c>
      <c r="E52" s="3">
        <v>5397</v>
      </c>
      <c r="F52" s="3">
        <v>19</v>
      </c>
      <c r="G52" s="3">
        <v>5416</v>
      </c>
      <c r="H52" s="4"/>
      <c r="I52" s="4"/>
      <c r="J52" s="5"/>
    </row>
    <row r="53" spans="1:11" x14ac:dyDescent="0.3">
      <c r="A53" s="6" t="s">
        <v>44</v>
      </c>
      <c r="B53" s="7">
        <v>3412</v>
      </c>
      <c r="C53" s="7">
        <v>6</v>
      </c>
      <c r="D53" s="7">
        <v>3418</v>
      </c>
      <c r="E53" s="7">
        <v>5044</v>
      </c>
      <c r="F53" s="7">
        <v>4</v>
      </c>
      <c r="G53" s="7">
        <v>5048</v>
      </c>
      <c r="H53" s="8"/>
      <c r="I53" s="8"/>
      <c r="J53" s="9"/>
    </row>
    <row r="54" spans="1:11" x14ac:dyDescent="0.3">
      <c r="A54" s="10" t="s">
        <v>61</v>
      </c>
      <c r="B54" s="3">
        <v>20212</v>
      </c>
      <c r="C54" s="3">
        <v>608</v>
      </c>
      <c r="D54" s="3">
        <v>20820</v>
      </c>
      <c r="E54" s="3">
        <v>24158</v>
      </c>
      <c r="F54" s="3">
        <v>625</v>
      </c>
      <c r="G54" s="3">
        <v>24783</v>
      </c>
      <c r="H54" s="4"/>
      <c r="I54" s="4"/>
      <c r="J54" s="5"/>
    </row>
    <row r="55" spans="1:11" x14ac:dyDescent="0.3">
      <c r="A55" s="6" t="s">
        <v>45</v>
      </c>
      <c r="B55" s="7">
        <v>655</v>
      </c>
      <c r="C55" s="7">
        <v>0</v>
      </c>
      <c r="D55" s="7">
        <v>655</v>
      </c>
      <c r="E55" s="7">
        <v>708</v>
      </c>
      <c r="F55" s="7">
        <v>0</v>
      </c>
      <c r="G55" s="7">
        <v>708</v>
      </c>
      <c r="H55" s="8"/>
      <c r="I55" s="8"/>
      <c r="J55" s="9"/>
    </row>
    <row r="56" spans="1:11" x14ac:dyDescent="0.3">
      <c r="A56" s="10" t="s">
        <v>46</v>
      </c>
      <c r="B56" s="3">
        <v>6861</v>
      </c>
      <c r="C56" s="3">
        <v>11</v>
      </c>
      <c r="D56" s="3">
        <v>6872</v>
      </c>
      <c r="E56" s="3">
        <v>5400</v>
      </c>
      <c r="F56" s="3">
        <v>11</v>
      </c>
      <c r="G56" s="3">
        <v>5411</v>
      </c>
      <c r="H56" s="4"/>
      <c r="I56" s="4"/>
      <c r="J56" s="5"/>
    </row>
    <row r="57" spans="1:11" x14ac:dyDescent="0.3">
      <c r="A57" s="6" t="s">
        <v>47</v>
      </c>
      <c r="B57" s="7">
        <v>13286</v>
      </c>
      <c r="C57" s="7">
        <v>82</v>
      </c>
      <c r="D57" s="7">
        <v>13368</v>
      </c>
      <c r="E57" s="7">
        <v>15476</v>
      </c>
      <c r="F57" s="7">
        <v>73</v>
      </c>
      <c r="G57" s="7">
        <v>15549</v>
      </c>
      <c r="H57" s="8"/>
      <c r="I57" s="8"/>
      <c r="J57" s="9"/>
    </row>
    <row r="58" spans="1:11" x14ac:dyDescent="0.3">
      <c r="A58" s="10" t="s">
        <v>52</v>
      </c>
      <c r="B58" s="3">
        <v>362</v>
      </c>
      <c r="C58" s="3">
        <v>74</v>
      </c>
      <c r="D58" s="3">
        <v>436</v>
      </c>
      <c r="E58" s="3">
        <v>639</v>
      </c>
      <c r="F58" s="3">
        <v>48</v>
      </c>
      <c r="G58" s="3">
        <v>687</v>
      </c>
      <c r="H58" s="4"/>
      <c r="I58" s="4"/>
      <c r="J58" s="5"/>
    </row>
    <row r="59" spans="1:11" x14ac:dyDescent="0.3">
      <c r="A59" s="6" t="s">
        <v>53</v>
      </c>
      <c r="B59" s="7">
        <v>234</v>
      </c>
      <c r="C59" s="7">
        <v>63</v>
      </c>
      <c r="D59" s="7">
        <v>297</v>
      </c>
      <c r="E59" s="7">
        <v>428</v>
      </c>
      <c r="F59" s="7">
        <v>343</v>
      </c>
      <c r="G59" s="7">
        <v>771</v>
      </c>
      <c r="H59" s="8"/>
      <c r="I59" s="8"/>
      <c r="J59" s="9"/>
    </row>
    <row r="60" spans="1:11" x14ac:dyDescent="0.3">
      <c r="A60" s="11"/>
      <c r="B60" s="12"/>
      <c r="C60" s="12"/>
      <c r="D60" s="12"/>
      <c r="E60" s="12"/>
      <c r="F60" s="12"/>
      <c r="G60" s="12"/>
      <c r="H60" s="13"/>
      <c r="I60" s="13"/>
      <c r="J60" s="21"/>
      <c r="K60" s="22"/>
    </row>
    <row r="61" spans="1:11" x14ac:dyDescent="0.3">
      <c r="A61" s="14"/>
      <c r="B61" s="15"/>
      <c r="C61" s="15"/>
      <c r="D61" s="15"/>
      <c r="E61" s="15"/>
      <c r="F61" s="15"/>
      <c r="G61" s="15"/>
      <c r="H61" s="16"/>
      <c r="I61" s="16"/>
      <c r="J61" s="17"/>
    </row>
    <row r="62" spans="1:11" x14ac:dyDescent="0.3">
      <c r="A62" s="26"/>
      <c r="B62" s="18"/>
      <c r="C62" s="18"/>
      <c r="D62" s="27"/>
      <c r="E62" s="18"/>
      <c r="F62" s="18"/>
      <c r="G62" s="27"/>
      <c r="H62" s="28"/>
      <c r="I62" s="28"/>
      <c r="J62" s="29"/>
    </row>
    <row r="63" spans="1:11" x14ac:dyDescent="0.3">
      <c r="A63" s="14"/>
      <c r="B63" s="15"/>
      <c r="C63" s="15"/>
      <c r="D63" s="15"/>
      <c r="E63" s="15"/>
      <c r="F63" s="15"/>
      <c r="G63" s="15"/>
      <c r="H63" s="30"/>
      <c r="I63" s="30"/>
      <c r="J63" s="31"/>
    </row>
    <row r="64" spans="1:11" x14ac:dyDescent="0.3">
      <c r="A64" s="67"/>
      <c r="B64" s="68"/>
      <c r="C64" s="68"/>
      <c r="D64" s="68"/>
      <c r="E64" s="68"/>
      <c r="F64" s="68"/>
      <c r="G64" s="68"/>
      <c r="H64" s="68"/>
      <c r="I64" s="68"/>
      <c r="J64" s="69"/>
    </row>
    <row r="65" spans="1:10" ht="15" thickBot="1" x14ac:dyDescent="0.35">
      <c r="A65" s="70"/>
      <c r="B65" s="71"/>
      <c r="C65" s="71"/>
      <c r="D65" s="71"/>
      <c r="E65" s="71"/>
      <c r="F65" s="71"/>
      <c r="G65" s="71"/>
      <c r="H65" s="71"/>
      <c r="I65" s="71"/>
      <c r="J65" s="72"/>
    </row>
    <row r="66" spans="1:10" ht="48.75" customHeight="1" x14ac:dyDescent="0.3">
      <c r="A66" s="47"/>
      <c r="B66" s="47"/>
      <c r="C66" s="47"/>
      <c r="D66" s="47"/>
      <c r="E66" s="47"/>
      <c r="F66" s="47"/>
      <c r="G66" s="47"/>
      <c r="H66" s="47"/>
      <c r="I66" s="47"/>
      <c r="J66" s="47"/>
    </row>
    <row r="67" spans="1:10" x14ac:dyDescent="0.3">
      <c r="A67" s="25"/>
    </row>
    <row r="68" spans="1:10" x14ac:dyDescent="0.3">
      <c r="H68" s="24"/>
      <c r="I68" s="24"/>
      <c r="J68" s="24"/>
    </row>
    <row r="69" spans="1:10" x14ac:dyDescent="0.3">
      <c r="H69" s="24"/>
      <c r="I69" s="24"/>
      <c r="J69" s="24"/>
    </row>
    <row r="70" spans="1:10" x14ac:dyDescent="0.3">
      <c r="H70" s="24"/>
      <c r="I70" s="24"/>
      <c r="J70" s="24"/>
    </row>
    <row r="71" spans="1:10" x14ac:dyDescent="0.3">
      <c r="H71" s="24"/>
      <c r="I71" s="24"/>
      <c r="J71" s="24"/>
    </row>
  </sheetData>
  <mergeCells count="7">
    <mergeCell ref="A64:J64"/>
    <mergeCell ref="A65:J65"/>
    <mergeCell ref="A1:J1"/>
    <mergeCell ref="A2:A3"/>
    <mergeCell ref="B2:D2"/>
    <mergeCell ref="E2:G2"/>
    <mergeCell ref="H2:J2"/>
  </mergeCells>
  <conditionalFormatting sqref="B4:J59">
    <cfRule type="cellIs" dxfId="4" priority="1" operator="equal">
      <formula>0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2" orientation="portrait" verticalDpi="597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67"/>
  <sheetViews>
    <sheetView topLeftCell="A19" zoomScale="55" zoomScaleNormal="55" workbookViewId="0">
      <selection activeCell="A66" sqref="A66:J66"/>
    </sheetView>
  </sheetViews>
  <sheetFormatPr defaultRowHeight="14.4" x14ac:dyDescent="0.3"/>
  <cols>
    <col min="1" max="1" width="41.109375" bestFit="1" customWidth="1"/>
    <col min="2" max="10" width="14.33203125" customWidth="1"/>
  </cols>
  <sheetData>
    <row r="1" spans="1:10" ht="25.5" customHeight="1" x14ac:dyDescent="0.3">
      <c r="A1" s="59" t="s">
        <v>54</v>
      </c>
      <c r="B1" s="60"/>
      <c r="C1" s="60"/>
      <c r="D1" s="60"/>
      <c r="E1" s="60"/>
      <c r="F1" s="60"/>
      <c r="G1" s="60"/>
      <c r="H1" s="60"/>
      <c r="I1" s="60"/>
      <c r="J1" s="61"/>
    </row>
    <row r="2" spans="1:10" ht="35.25" customHeight="1" x14ac:dyDescent="0.3">
      <c r="A2" s="73" t="s">
        <v>1</v>
      </c>
      <c r="B2" s="64" t="s">
        <v>64</v>
      </c>
      <c r="C2" s="64"/>
      <c r="D2" s="64"/>
      <c r="E2" s="64" t="s">
        <v>65</v>
      </c>
      <c r="F2" s="64"/>
      <c r="G2" s="64"/>
      <c r="H2" s="65"/>
      <c r="I2" s="65"/>
      <c r="J2" s="66"/>
    </row>
    <row r="3" spans="1:10" x14ac:dyDescent="0.3">
      <c r="A3" s="74"/>
      <c r="B3" s="1" t="s">
        <v>2</v>
      </c>
      <c r="C3" s="1" t="s">
        <v>3</v>
      </c>
      <c r="D3" s="1" t="s">
        <v>4</v>
      </c>
      <c r="E3" s="1" t="s">
        <v>2</v>
      </c>
      <c r="F3" s="1" t="s">
        <v>3</v>
      </c>
      <c r="G3" s="1" t="s">
        <v>4</v>
      </c>
      <c r="H3" s="1"/>
      <c r="I3" s="1"/>
      <c r="J3" s="2"/>
    </row>
    <row r="4" spans="1:10" x14ac:dyDescent="0.3">
      <c r="A4" s="10" t="s">
        <v>5</v>
      </c>
      <c r="B4" s="3">
        <v>0</v>
      </c>
      <c r="C4" s="3">
        <v>0</v>
      </c>
      <c r="D4" s="3">
        <v>0</v>
      </c>
      <c r="E4" s="3">
        <v>47</v>
      </c>
      <c r="F4" s="3">
        <v>407</v>
      </c>
      <c r="G4" s="3">
        <v>454</v>
      </c>
      <c r="H4" s="4"/>
      <c r="I4" s="4"/>
      <c r="J4" s="5"/>
    </row>
    <row r="5" spans="1:10" x14ac:dyDescent="0.3">
      <c r="A5" s="6" t="s">
        <v>59</v>
      </c>
      <c r="B5" s="7">
        <v>7473875</v>
      </c>
      <c r="C5" s="7">
        <v>15936505</v>
      </c>
      <c r="D5" s="7">
        <v>23410380</v>
      </c>
      <c r="E5" s="7">
        <v>10676237</v>
      </c>
      <c r="F5" s="7">
        <v>26505670</v>
      </c>
      <c r="G5" s="7">
        <v>37181907</v>
      </c>
      <c r="H5" s="8"/>
      <c r="I5" s="8"/>
      <c r="J5" s="9"/>
    </row>
    <row r="6" spans="1:10" x14ac:dyDescent="0.3">
      <c r="A6" s="10" t="s">
        <v>48</v>
      </c>
      <c r="B6" s="3">
        <v>11687578</v>
      </c>
      <c r="C6" s="3">
        <v>5263612</v>
      </c>
      <c r="D6" s="3">
        <v>16951190</v>
      </c>
      <c r="E6" s="3">
        <v>16095763</v>
      </c>
      <c r="F6" s="3">
        <v>8805144</v>
      </c>
      <c r="G6" s="3">
        <v>24900907</v>
      </c>
      <c r="H6" s="4"/>
      <c r="I6" s="4"/>
      <c r="J6" s="5"/>
    </row>
    <row r="7" spans="1:10" x14ac:dyDescent="0.3">
      <c r="A7" s="6" t="s">
        <v>6</v>
      </c>
      <c r="B7" s="7">
        <v>4415805</v>
      </c>
      <c r="C7" s="7">
        <v>746764</v>
      </c>
      <c r="D7" s="7">
        <v>5162569</v>
      </c>
      <c r="E7" s="7">
        <v>5728315</v>
      </c>
      <c r="F7" s="7">
        <v>1301315</v>
      </c>
      <c r="G7" s="7">
        <v>7029630</v>
      </c>
      <c r="H7" s="8"/>
      <c r="I7" s="8"/>
      <c r="J7" s="9"/>
    </row>
    <row r="8" spans="1:10" x14ac:dyDescent="0.3">
      <c r="A8" s="10" t="s">
        <v>7</v>
      </c>
      <c r="B8" s="3">
        <v>4469524</v>
      </c>
      <c r="C8" s="3">
        <v>995334</v>
      </c>
      <c r="D8" s="3">
        <v>5464858</v>
      </c>
      <c r="E8" s="3">
        <v>5776477</v>
      </c>
      <c r="F8" s="3">
        <v>1792577</v>
      </c>
      <c r="G8" s="3">
        <v>7569054</v>
      </c>
      <c r="H8" s="4"/>
      <c r="I8" s="4"/>
      <c r="J8" s="5"/>
    </row>
    <row r="9" spans="1:10" x14ac:dyDescent="0.3">
      <c r="A9" s="6" t="s">
        <v>8</v>
      </c>
      <c r="B9" s="7">
        <v>3126211</v>
      </c>
      <c r="C9" s="7">
        <v>6584984</v>
      </c>
      <c r="D9" s="7">
        <v>9711195</v>
      </c>
      <c r="E9" s="7">
        <v>4765985</v>
      </c>
      <c r="F9" s="7">
        <v>17247876</v>
      </c>
      <c r="G9" s="7">
        <v>22013861</v>
      </c>
      <c r="H9" s="8"/>
      <c r="I9" s="8"/>
      <c r="J9" s="9"/>
    </row>
    <row r="10" spans="1:10" x14ac:dyDescent="0.3">
      <c r="A10" s="10" t="s">
        <v>49</v>
      </c>
      <c r="B10" s="3">
        <v>212311</v>
      </c>
      <c r="C10" s="3">
        <v>58557</v>
      </c>
      <c r="D10" s="3">
        <v>270868</v>
      </c>
      <c r="E10" s="3">
        <v>369495</v>
      </c>
      <c r="F10" s="3">
        <v>210140</v>
      </c>
      <c r="G10" s="3">
        <v>579635</v>
      </c>
      <c r="H10" s="4"/>
      <c r="I10" s="4"/>
      <c r="J10" s="5"/>
    </row>
    <row r="11" spans="1:10" x14ac:dyDescent="0.3">
      <c r="A11" s="6" t="s">
        <v>9</v>
      </c>
      <c r="B11" s="7">
        <v>756473</v>
      </c>
      <c r="C11" s="7">
        <v>830652</v>
      </c>
      <c r="D11" s="7">
        <v>1587125</v>
      </c>
      <c r="E11" s="7">
        <v>1393116</v>
      </c>
      <c r="F11" s="7">
        <v>930758</v>
      </c>
      <c r="G11" s="7">
        <v>2323874</v>
      </c>
      <c r="H11" s="8"/>
      <c r="I11" s="8"/>
      <c r="J11" s="9"/>
    </row>
    <row r="12" spans="1:10" x14ac:dyDescent="0.3">
      <c r="A12" s="10" t="s">
        <v>10</v>
      </c>
      <c r="B12" s="3">
        <v>1010734</v>
      </c>
      <c r="C12" s="3">
        <v>469605</v>
      </c>
      <c r="D12" s="3">
        <v>1480339</v>
      </c>
      <c r="E12" s="3">
        <v>1908796</v>
      </c>
      <c r="F12" s="3">
        <v>1000541</v>
      </c>
      <c r="G12" s="3">
        <v>2909337</v>
      </c>
      <c r="H12" s="4"/>
      <c r="I12" s="4"/>
      <c r="J12" s="5"/>
    </row>
    <row r="13" spans="1:10" x14ac:dyDescent="0.3">
      <c r="A13" s="6" t="s">
        <v>11</v>
      </c>
      <c r="B13" s="7">
        <v>2283292</v>
      </c>
      <c r="C13" s="7">
        <v>224052</v>
      </c>
      <c r="D13" s="7">
        <v>2507344</v>
      </c>
      <c r="E13" s="7">
        <v>2976130</v>
      </c>
      <c r="F13" s="7">
        <v>423361</v>
      </c>
      <c r="G13" s="7">
        <v>3399491</v>
      </c>
      <c r="H13" s="8"/>
      <c r="I13" s="8"/>
      <c r="J13" s="9"/>
    </row>
    <row r="14" spans="1:10" x14ac:dyDescent="0.3">
      <c r="A14" s="10" t="s">
        <v>12</v>
      </c>
      <c r="B14" s="3">
        <v>1740729</v>
      </c>
      <c r="C14" s="3">
        <v>60871</v>
      </c>
      <c r="D14" s="3">
        <v>1801600</v>
      </c>
      <c r="E14" s="3">
        <v>2396829</v>
      </c>
      <c r="F14" s="3">
        <v>245498</v>
      </c>
      <c r="G14" s="3">
        <v>2642327</v>
      </c>
      <c r="H14" s="4"/>
      <c r="I14" s="4"/>
      <c r="J14" s="5"/>
    </row>
    <row r="15" spans="1:10" x14ac:dyDescent="0.3">
      <c r="A15" s="6" t="s">
        <v>13</v>
      </c>
      <c r="B15" s="7">
        <v>560532</v>
      </c>
      <c r="C15" s="7">
        <v>2516</v>
      </c>
      <c r="D15" s="7">
        <v>563048</v>
      </c>
      <c r="E15" s="7">
        <v>777691</v>
      </c>
      <c r="F15" s="7">
        <v>3019</v>
      </c>
      <c r="G15" s="7">
        <v>780710</v>
      </c>
      <c r="H15" s="8"/>
      <c r="I15" s="8"/>
      <c r="J15" s="9"/>
    </row>
    <row r="16" spans="1:10" x14ac:dyDescent="0.3">
      <c r="A16" s="10" t="s">
        <v>14</v>
      </c>
      <c r="B16" s="3">
        <v>1271409</v>
      </c>
      <c r="C16" s="3">
        <v>119375</v>
      </c>
      <c r="D16" s="3">
        <v>1390784</v>
      </c>
      <c r="E16" s="3">
        <v>1694871</v>
      </c>
      <c r="F16" s="3">
        <v>164653</v>
      </c>
      <c r="G16" s="3">
        <v>1859524</v>
      </c>
      <c r="H16" s="4"/>
      <c r="I16" s="4"/>
      <c r="J16" s="5"/>
    </row>
    <row r="17" spans="1:10" x14ac:dyDescent="0.3">
      <c r="A17" s="6" t="s">
        <v>15</v>
      </c>
      <c r="B17" s="7">
        <v>122505</v>
      </c>
      <c r="C17" s="7">
        <v>1295</v>
      </c>
      <c r="D17" s="7">
        <v>123800</v>
      </c>
      <c r="E17" s="7">
        <v>132535</v>
      </c>
      <c r="F17" s="7">
        <v>0</v>
      </c>
      <c r="G17" s="7">
        <v>132535</v>
      </c>
      <c r="H17" s="8"/>
      <c r="I17" s="8"/>
      <c r="J17" s="9"/>
    </row>
    <row r="18" spans="1:10" x14ac:dyDescent="0.3">
      <c r="A18" s="10" t="s">
        <v>16</v>
      </c>
      <c r="B18" s="3">
        <v>208620</v>
      </c>
      <c r="C18" s="3">
        <v>367</v>
      </c>
      <c r="D18" s="3">
        <v>208987</v>
      </c>
      <c r="E18" s="3">
        <v>250600</v>
      </c>
      <c r="F18" s="3">
        <v>0</v>
      </c>
      <c r="G18" s="3">
        <v>250600</v>
      </c>
      <c r="H18" s="4"/>
      <c r="I18" s="4"/>
      <c r="J18" s="5"/>
    </row>
    <row r="19" spans="1:10" x14ac:dyDescent="0.3">
      <c r="A19" s="6" t="s">
        <v>17</v>
      </c>
      <c r="B19" s="7">
        <v>85951</v>
      </c>
      <c r="C19" s="7">
        <v>4062</v>
      </c>
      <c r="D19" s="7">
        <v>90013</v>
      </c>
      <c r="E19" s="7">
        <v>90219</v>
      </c>
      <c r="F19" s="7">
        <v>21226</v>
      </c>
      <c r="G19" s="7">
        <v>111445</v>
      </c>
      <c r="H19" s="8"/>
      <c r="I19" s="8"/>
      <c r="J19" s="9"/>
    </row>
    <row r="20" spans="1:10" x14ac:dyDescent="0.3">
      <c r="A20" s="10" t="s">
        <v>50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4"/>
      <c r="I20" s="4"/>
      <c r="J20" s="5"/>
    </row>
    <row r="21" spans="1:10" x14ac:dyDescent="0.3">
      <c r="A21" s="6" t="s">
        <v>18</v>
      </c>
      <c r="B21" s="7">
        <v>153777</v>
      </c>
      <c r="C21" s="7">
        <v>5249</v>
      </c>
      <c r="D21" s="7">
        <v>159026</v>
      </c>
      <c r="E21" s="7">
        <v>261828</v>
      </c>
      <c r="F21" s="7">
        <v>3727</v>
      </c>
      <c r="G21" s="7">
        <v>265555</v>
      </c>
      <c r="H21" s="8"/>
      <c r="I21" s="8"/>
      <c r="J21" s="9"/>
    </row>
    <row r="22" spans="1:10" x14ac:dyDescent="0.3">
      <c r="A22" s="10" t="s">
        <v>19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4"/>
      <c r="I22" s="4"/>
      <c r="J22" s="5"/>
    </row>
    <row r="23" spans="1:10" x14ac:dyDescent="0.3">
      <c r="A23" s="6" t="s">
        <v>20</v>
      </c>
      <c r="B23" s="7">
        <v>370430</v>
      </c>
      <c r="C23" s="7">
        <v>1153</v>
      </c>
      <c r="D23" s="7">
        <v>371583</v>
      </c>
      <c r="E23" s="7">
        <v>526546</v>
      </c>
      <c r="F23" s="7">
        <v>0</v>
      </c>
      <c r="G23" s="7">
        <v>526546</v>
      </c>
      <c r="H23" s="8"/>
      <c r="I23" s="8"/>
      <c r="J23" s="9"/>
    </row>
    <row r="24" spans="1:10" x14ac:dyDescent="0.3">
      <c r="A24" s="10" t="s">
        <v>21</v>
      </c>
      <c r="B24" s="3">
        <v>121111</v>
      </c>
      <c r="C24" s="3">
        <v>271</v>
      </c>
      <c r="D24" s="3">
        <v>121382</v>
      </c>
      <c r="E24" s="3">
        <v>152967</v>
      </c>
      <c r="F24" s="3">
        <v>0</v>
      </c>
      <c r="G24" s="3">
        <v>152967</v>
      </c>
      <c r="H24" s="4"/>
      <c r="I24" s="4"/>
      <c r="J24" s="5"/>
    </row>
    <row r="25" spans="1:10" x14ac:dyDescent="0.3">
      <c r="A25" s="6" t="s">
        <v>22</v>
      </c>
      <c r="B25" s="7">
        <v>51092</v>
      </c>
      <c r="C25" s="7">
        <v>9479</v>
      </c>
      <c r="D25" s="7">
        <v>60571</v>
      </c>
      <c r="E25" s="7">
        <v>76733</v>
      </c>
      <c r="F25" s="7">
        <v>381</v>
      </c>
      <c r="G25" s="7">
        <v>77114</v>
      </c>
      <c r="H25" s="8"/>
      <c r="I25" s="8"/>
      <c r="J25" s="9"/>
    </row>
    <row r="26" spans="1:10" x14ac:dyDescent="0.3">
      <c r="A26" s="10" t="s">
        <v>23</v>
      </c>
      <c r="B26" s="3">
        <v>95278</v>
      </c>
      <c r="C26" s="3">
        <v>1286</v>
      </c>
      <c r="D26" s="3">
        <v>96564</v>
      </c>
      <c r="E26" s="3">
        <v>79145</v>
      </c>
      <c r="F26" s="3">
        <v>0</v>
      </c>
      <c r="G26" s="3">
        <v>79145</v>
      </c>
      <c r="H26" s="4"/>
      <c r="I26" s="4"/>
      <c r="J26" s="5"/>
    </row>
    <row r="27" spans="1:10" x14ac:dyDescent="0.3">
      <c r="A27" s="6" t="s">
        <v>24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8"/>
      <c r="I27" s="8"/>
      <c r="J27" s="9"/>
    </row>
    <row r="28" spans="1:10" x14ac:dyDescent="0.3">
      <c r="A28" s="10" t="s">
        <v>25</v>
      </c>
      <c r="B28" s="3">
        <v>224970</v>
      </c>
      <c r="C28" s="3">
        <v>8227</v>
      </c>
      <c r="D28" s="3">
        <v>233197</v>
      </c>
      <c r="E28" s="3">
        <v>280449</v>
      </c>
      <c r="F28" s="3">
        <v>35265</v>
      </c>
      <c r="G28" s="3">
        <v>315714</v>
      </c>
      <c r="H28" s="4"/>
      <c r="I28" s="4"/>
      <c r="J28" s="5"/>
    </row>
    <row r="29" spans="1:10" x14ac:dyDescent="0.3">
      <c r="A29" s="6" t="s">
        <v>26</v>
      </c>
      <c r="B29" s="7">
        <v>1092261</v>
      </c>
      <c r="C29" s="7">
        <v>23381</v>
      </c>
      <c r="D29" s="7">
        <v>1115642</v>
      </c>
      <c r="E29" s="7">
        <v>1292717</v>
      </c>
      <c r="F29" s="7">
        <v>56407</v>
      </c>
      <c r="G29" s="7">
        <v>1349124</v>
      </c>
      <c r="H29" s="8"/>
      <c r="I29" s="8"/>
      <c r="J29" s="9"/>
    </row>
    <row r="30" spans="1:10" x14ac:dyDescent="0.3">
      <c r="A30" s="10" t="s">
        <v>27</v>
      </c>
      <c r="B30" s="3">
        <v>518548</v>
      </c>
      <c r="C30" s="3">
        <v>23279</v>
      </c>
      <c r="D30" s="3">
        <v>541827</v>
      </c>
      <c r="E30" s="3">
        <v>516968</v>
      </c>
      <c r="F30" s="3">
        <v>42268</v>
      </c>
      <c r="G30" s="3">
        <v>559236</v>
      </c>
      <c r="H30" s="4"/>
      <c r="I30" s="4"/>
      <c r="J30" s="5"/>
    </row>
    <row r="31" spans="1:10" x14ac:dyDescent="0.3">
      <c r="A31" s="6" t="s">
        <v>63</v>
      </c>
      <c r="B31" s="7">
        <v>220785</v>
      </c>
      <c r="C31" s="7">
        <v>2882</v>
      </c>
      <c r="D31" s="7">
        <v>223667</v>
      </c>
      <c r="E31" s="7">
        <v>275188</v>
      </c>
      <c r="F31" s="7">
        <v>14567</v>
      </c>
      <c r="G31" s="7">
        <v>289755</v>
      </c>
      <c r="H31" s="8"/>
      <c r="I31" s="8"/>
      <c r="J31" s="9"/>
    </row>
    <row r="32" spans="1:10" x14ac:dyDescent="0.3">
      <c r="A32" s="10" t="s">
        <v>51</v>
      </c>
      <c r="B32" s="3">
        <v>78</v>
      </c>
      <c r="C32" s="3">
        <v>51080</v>
      </c>
      <c r="D32" s="3">
        <v>51158</v>
      </c>
      <c r="E32" s="3">
        <v>101</v>
      </c>
      <c r="F32" s="3">
        <v>99514</v>
      </c>
      <c r="G32" s="3">
        <v>99615</v>
      </c>
      <c r="H32" s="4"/>
      <c r="I32" s="4"/>
      <c r="J32" s="5"/>
    </row>
    <row r="33" spans="1:10" x14ac:dyDescent="0.3">
      <c r="A33" s="6" t="s">
        <v>58</v>
      </c>
      <c r="B33" s="7">
        <v>96025</v>
      </c>
      <c r="C33" s="7">
        <v>0</v>
      </c>
      <c r="D33" s="7">
        <v>96025</v>
      </c>
      <c r="E33" s="7">
        <v>127991</v>
      </c>
      <c r="F33" s="7">
        <v>0</v>
      </c>
      <c r="G33" s="7">
        <v>127991</v>
      </c>
      <c r="H33" s="8"/>
      <c r="I33" s="8"/>
      <c r="J33" s="9"/>
    </row>
    <row r="34" spans="1:10" x14ac:dyDescent="0.3">
      <c r="A34" s="10" t="s">
        <v>28</v>
      </c>
      <c r="B34" s="3">
        <v>576273</v>
      </c>
      <c r="C34" s="3">
        <v>59185</v>
      </c>
      <c r="D34" s="3">
        <v>635458</v>
      </c>
      <c r="E34" s="3">
        <v>864055</v>
      </c>
      <c r="F34" s="3">
        <v>34322</v>
      </c>
      <c r="G34" s="3">
        <v>898377</v>
      </c>
      <c r="H34" s="4"/>
      <c r="I34" s="4"/>
      <c r="J34" s="5"/>
    </row>
    <row r="35" spans="1:10" x14ac:dyDescent="0.3">
      <c r="A35" s="6" t="s">
        <v>57</v>
      </c>
      <c r="B35" s="7">
        <v>134176</v>
      </c>
      <c r="C35" s="7">
        <v>296</v>
      </c>
      <c r="D35" s="7">
        <v>134472</v>
      </c>
      <c r="E35" s="7">
        <v>191870</v>
      </c>
      <c r="F35" s="7">
        <v>0</v>
      </c>
      <c r="G35" s="7">
        <v>191870</v>
      </c>
      <c r="H35" s="8"/>
      <c r="I35" s="8"/>
      <c r="J35" s="9"/>
    </row>
    <row r="36" spans="1:10" x14ac:dyDescent="0.3">
      <c r="A36" s="10" t="s">
        <v>29</v>
      </c>
      <c r="B36" s="3">
        <v>36917</v>
      </c>
      <c r="C36" s="3">
        <v>5330</v>
      </c>
      <c r="D36" s="3">
        <v>42247</v>
      </c>
      <c r="E36" s="3">
        <v>39742</v>
      </c>
      <c r="F36" s="3">
        <v>9326</v>
      </c>
      <c r="G36" s="3">
        <v>49068</v>
      </c>
      <c r="H36" s="4"/>
      <c r="I36" s="4"/>
      <c r="J36" s="5"/>
    </row>
    <row r="37" spans="1:10" x14ac:dyDescent="0.3">
      <c r="A37" s="6" t="s">
        <v>30</v>
      </c>
      <c r="B37" s="7">
        <v>140897</v>
      </c>
      <c r="C37" s="7">
        <v>574</v>
      </c>
      <c r="D37" s="7">
        <v>141471</v>
      </c>
      <c r="E37" s="7">
        <v>171785</v>
      </c>
      <c r="F37" s="7">
        <v>0</v>
      </c>
      <c r="G37" s="7">
        <v>171785</v>
      </c>
      <c r="H37" s="8"/>
      <c r="I37" s="8"/>
      <c r="J37" s="9"/>
    </row>
    <row r="38" spans="1:10" x14ac:dyDescent="0.3">
      <c r="A38" s="10" t="s">
        <v>31</v>
      </c>
      <c r="B38" s="3">
        <v>380904</v>
      </c>
      <c r="C38" s="3">
        <v>219</v>
      </c>
      <c r="D38" s="3">
        <v>381123</v>
      </c>
      <c r="E38" s="3">
        <v>453366</v>
      </c>
      <c r="F38" s="3">
        <v>0</v>
      </c>
      <c r="G38" s="3">
        <v>453366</v>
      </c>
      <c r="H38" s="4"/>
      <c r="I38" s="4"/>
      <c r="J38" s="5"/>
    </row>
    <row r="39" spans="1:10" x14ac:dyDescent="0.3">
      <c r="A39" s="6" t="s">
        <v>32</v>
      </c>
      <c r="B39" s="7">
        <v>23758</v>
      </c>
      <c r="C39" s="7">
        <v>1377</v>
      </c>
      <c r="D39" s="7">
        <v>25135</v>
      </c>
      <c r="E39" s="7">
        <v>30209</v>
      </c>
      <c r="F39" s="7">
        <v>58</v>
      </c>
      <c r="G39" s="7">
        <v>30267</v>
      </c>
      <c r="H39" s="8"/>
      <c r="I39" s="8"/>
      <c r="J39" s="9"/>
    </row>
    <row r="40" spans="1:10" x14ac:dyDescent="0.3">
      <c r="A40" s="10" t="s">
        <v>33</v>
      </c>
      <c r="B40" s="3">
        <v>957290</v>
      </c>
      <c r="C40" s="3">
        <v>203869</v>
      </c>
      <c r="D40" s="3">
        <v>1161159</v>
      </c>
      <c r="E40" s="3">
        <v>1279854</v>
      </c>
      <c r="F40" s="3">
        <v>402355</v>
      </c>
      <c r="G40" s="3">
        <v>1682209</v>
      </c>
      <c r="H40" s="4"/>
      <c r="I40" s="4"/>
      <c r="J40" s="5"/>
    </row>
    <row r="41" spans="1:10" x14ac:dyDescent="0.3">
      <c r="A41" s="6" t="s">
        <v>34</v>
      </c>
      <c r="B41" s="7">
        <v>10784</v>
      </c>
      <c r="C41" s="7">
        <v>1067</v>
      </c>
      <c r="D41" s="7">
        <v>11851</v>
      </c>
      <c r="E41" s="7">
        <v>9173</v>
      </c>
      <c r="F41" s="7">
        <v>0</v>
      </c>
      <c r="G41" s="7">
        <v>9173</v>
      </c>
      <c r="H41" s="8"/>
      <c r="I41" s="8"/>
      <c r="J41" s="9"/>
    </row>
    <row r="42" spans="1:10" x14ac:dyDescent="0.3">
      <c r="A42" s="10" t="s">
        <v>35</v>
      </c>
      <c r="B42" s="3">
        <v>438126</v>
      </c>
      <c r="C42" s="3">
        <v>57735</v>
      </c>
      <c r="D42" s="3">
        <v>495861</v>
      </c>
      <c r="E42" s="3">
        <v>561891</v>
      </c>
      <c r="F42" s="3">
        <v>100506</v>
      </c>
      <c r="G42" s="3">
        <v>662397</v>
      </c>
      <c r="H42" s="4"/>
      <c r="I42" s="4"/>
      <c r="J42" s="5"/>
    </row>
    <row r="43" spans="1:10" x14ac:dyDescent="0.3">
      <c r="A43" s="6" t="s">
        <v>36</v>
      </c>
      <c r="B43" s="7">
        <v>473665</v>
      </c>
      <c r="C43" s="7">
        <v>4417</v>
      </c>
      <c r="D43" s="7">
        <v>478082</v>
      </c>
      <c r="E43" s="7">
        <v>636637</v>
      </c>
      <c r="F43" s="7">
        <v>14106</v>
      </c>
      <c r="G43" s="7">
        <v>650743</v>
      </c>
      <c r="H43" s="8"/>
      <c r="I43" s="8"/>
      <c r="J43" s="9"/>
    </row>
    <row r="44" spans="1:10" x14ac:dyDescent="0.3">
      <c r="A44" s="10" t="s">
        <v>37</v>
      </c>
      <c r="B44" s="3">
        <v>397050</v>
      </c>
      <c r="C44" s="3">
        <v>514</v>
      </c>
      <c r="D44" s="3">
        <v>397564</v>
      </c>
      <c r="E44" s="3">
        <v>580889</v>
      </c>
      <c r="F44" s="3">
        <v>0</v>
      </c>
      <c r="G44" s="3">
        <v>580889</v>
      </c>
      <c r="H44" s="4"/>
      <c r="I44" s="4"/>
      <c r="J44" s="5"/>
    </row>
    <row r="45" spans="1:10" x14ac:dyDescent="0.3">
      <c r="A45" s="6" t="s">
        <v>60</v>
      </c>
      <c r="B45" s="7">
        <v>276697</v>
      </c>
      <c r="C45" s="7">
        <v>1263</v>
      </c>
      <c r="D45" s="7">
        <v>277960</v>
      </c>
      <c r="E45" s="7">
        <v>367390</v>
      </c>
      <c r="F45" s="7">
        <v>0</v>
      </c>
      <c r="G45" s="7">
        <v>367390</v>
      </c>
      <c r="H45" s="8"/>
      <c r="I45" s="8"/>
      <c r="J45" s="9"/>
    </row>
    <row r="46" spans="1:10" x14ac:dyDescent="0.3">
      <c r="A46" s="10" t="s">
        <v>38</v>
      </c>
      <c r="B46" s="3">
        <v>132619</v>
      </c>
      <c r="C46" s="3">
        <v>1516</v>
      </c>
      <c r="D46" s="3">
        <v>134135</v>
      </c>
      <c r="E46" s="3">
        <v>247546</v>
      </c>
      <c r="F46" s="3">
        <v>14894</v>
      </c>
      <c r="G46" s="3">
        <v>262440</v>
      </c>
      <c r="H46" s="4"/>
      <c r="I46" s="4"/>
      <c r="J46" s="5"/>
    </row>
    <row r="47" spans="1:10" x14ac:dyDescent="0.3">
      <c r="A47" s="6" t="s">
        <v>39</v>
      </c>
      <c r="B47" s="7">
        <v>547536</v>
      </c>
      <c r="C47" s="7">
        <v>8896</v>
      </c>
      <c r="D47" s="7">
        <v>556432</v>
      </c>
      <c r="E47" s="7">
        <v>738721</v>
      </c>
      <c r="F47" s="7">
        <v>1932</v>
      </c>
      <c r="G47" s="7">
        <v>740653</v>
      </c>
      <c r="H47" s="8"/>
      <c r="I47" s="8"/>
      <c r="J47" s="9"/>
    </row>
    <row r="48" spans="1:10" x14ac:dyDescent="0.3">
      <c r="A48" s="10" t="s">
        <v>40</v>
      </c>
      <c r="B48" s="3">
        <v>791736</v>
      </c>
      <c r="C48" s="3">
        <v>76405</v>
      </c>
      <c r="D48" s="3">
        <v>868141</v>
      </c>
      <c r="E48" s="3">
        <v>975569</v>
      </c>
      <c r="F48" s="3">
        <v>150509</v>
      </c>
      <c r="G48" s="3">
        <v>1126078</v>
      </c>
      <c r="H48" s="4"/>
      <c r="I48" s="4"/>
      <c r="J48" s="5"/>
    </row>
    <row r="49" spans="1:10" x14ac:dyDescent="0.3">
      <c r="A49" s="6" t="s">
        <v>41</v>
      </c>
      <c r="B49" s="7">
        <v>33568</v>
      </c>
      <c r="C49" s="7">
        <v>0</v>
      </c>
      <c r="D49" s="7">
        <v>33568</v>
      </c>
      <c r="E49" s="7">
        <v>45840</v>
      </c>
      <c r="F49" s="7">
        <v>0</v>
      </c>
      <c r="G49" s="7">
        <v>45840</v>
      </c>
      <c r="H49" s="8"/>
      <c r="I49" s="8"/>
      <c r="J49" s="9"/>
    </row>
    <row r="50" spans="1:10" x14ac:dyDescent="0.3">
      <c r="A50" s="10" t="s">
        <v>42</v>
      </c>
      <c r="B50" s="3">
        <v>78028</v>
      </c>
      <c r="C50" s="3">
        <v>0</v>
      </c>
      <c r="D50" s="3">
        <v>78028</v>
      </c>
      <c r="E50" s="3">
        <v>74463</v>
      </c>
      <c r="F50" s="3">
        <v>0</v>
      </c>
      <c r="G50" s="3">
        <v>74463</v>
      </c>
      <c r="H50" s="4"/>
      <c r="I50" s="4"/>
      <c r="J50" s="5"/>
    </row>
    <row r="51" spans="1:10" x14ac:dyDescent="0.3">
      <c r="A51" s="6" t="s">
        <v>43</v>
      </c>
      <c r="B51" s="7">
        <v>296451</v>
      </c>
      <c r="C51" s="7">
        <v>4430</v>
      </c>
      <c r="D51" s="7">
        <v>300881</v>
      </c>
      <c r="E51" s="7">
        <v>406563</v>
      </c>
      <c r="F51" s="7">
        <v>3874</v>
      </c>
      <c r="G51" s="7">
        <v>410437</v>
      </c>
      <c r="H51" s="8"/>
      <c r="I51" s="8"/>
      <c r="J51" s="9"/>
    </row>
    <row r="52" spans="1:10" x14ac:dyDescent="0.3">
      <c r="A52" s="10" t="s">
        <v>62</v>
      </c>
      <c r="B52" s="3">
        <v>400665</v>
      </c>
      <c r="C52" s="3">
        <v>6866</v>
      </c>
      <c r="D52" s="3">
        <v>407531</v>
      </c>
      <c r="E52" s="3">
        <v>554892</v>
      </c>
      <c r="F52" s="3">
        <v>295</v>
      </c>
      <c r="G52" s="3">
        <v>555187</v>
      </c>
      <c r="H52" s="4"/>
      <c r="I52" s="4"/>
      <c r="J52" s="5"/>
    </row>
    <row r="53" spans="1:10" x14ac:dyDescent="0.3">
      <c r="A53" s="6" t="s">
        <v>44</v>
      </c>
      <c r="B53" s="7">
        <v>227169</v>
      </c>
      <c r="C53" s="7">
        <v>117</v>
      </c>
      <c r="D53" s="7">
        <v>227286</v>
      </c>
      <c r="E53" s="7">
        <v>312973</v>
      </c>
      <c r="F53" s="7">
        <v>0</v>
      </c>
      <c r="G53" s="7">
        <v>312973</v>
      </c>
      <c r="H53" s="8"/>
      <c r="I53" s="8"/>
      <c r="J53" s="9"/>
    </row>
    <row r="54" spans="1:10" x14ac:dyDescent="0.3">
      <c r="A54" s="10" t="s">
        <v>61</v>
      </c>
      <c r="B54" s="3">
        <v>22460</v>
      </c>
      <c r="C54" s="3">
        <v>321</v>
      </c>
      <c r="D54" s="3">
        <v>22781</v>
      </c>
      <c r="E54" s="3">
        <v>6426</v>
      </c>
      <c r="F54" s="3">
        <v>1340</v>
      </c>
      <c r="G54" s="3">
        <v>7766</v>
      </c>
      <c r="H54" s="4"/>
      <c r="I54" s="4"/>
      <c r="J54" s="5"/>
    </row>
    <row r="55" spans="1:10" x14ac:dyDescent="0.3">
      <c r="A55" s="6" t="s">
        <v>45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8"/>
      <c r="I55" s="8"/>
      <c r="J55" s="9"/>
    </row>
    <row r="56" spans="1:10" x14ac:dyDescent="0.3">
      <c r="A56" s="10" t="s">
        <v>46</v>
      </c>
      <c r="B56" s="3">
        <v>6792</v>
      </c>
      <c r="C56" s="3">
        <v>708</v>
      </c>
      <c r="D56" s="3">
        <v>7500</v>
      </c>
      <c r="E56" s="3">
        <v>52</v>
      </c>
      <c r="F56" s="3">
        <v>0</v>
      </c>
      <c r="G56" s="3">
        <v>52</v>
      </c>
      <c r="H56" s="4"/>
      <c r="I56" s="4"/>
      <c r="J56" s="5"/>
    </row>
    <row r="57" spans="1:10" x14ac:dyDescent="0.3">
      <c r="A57" s="6" t="s">
        <v>47</v>
      </c>
      <c r="B57" s="7">
        <v>974550</v>
      </c>
      <c r="C57" s="7">
        <v>1761</v>
      </c>
      <c r="D57" s="7">
        <v>976311</v>
      </c>
      <c r="E57" s="7">
        <v>1265467</v>
      </c>
      <c r="F57" s="7">
        <v>0</v>
      </c>
      <c r="G57" s="7">
        <v>1265467</v>
      </c>
      <c r="H57" s="8"/>
      <c r="I57" s="8"/>
      <c r="J57" s="9"/>
    </row>
    <row r="58" spans="1:10" x14ac:dyDescent="0.3">
      <c r="A58" s="10" t="s">
        <v>52</v>
      </c>
      <c r="B58" s="3">
        <v>9605</v>
      </c>
      <c r="C58" s="3">
        <v>7040</v>
      </c>
      <c r="D58" s="3">
        <v>16645</v>
      </c>
      <c r="E58" s="3">
        <v>18615</v>
      </c>
      <c r="F58" s="3">
        <v>4314</v>
      </c>
      <c r="G58" s="3">
        <v>22929</v>
      </c>
      <c r="H58" s="4"/>
      <c r="I58" s="4"/>
      <c r="J58" s="5"/>
    </row>
    <row r="59" spans="1:10" x14ac:dyDescent="0.3">
      <c r="A59" s="6" t="s">
        <v>53</v>
      </c>
      <c r="B59" s="7">
        <v>2683</v>
      </c>
      <c r="C59" s="7">
        <v>7093</v>
      </c>
      <c r="D59" s="7">
        <v>9776</v>
      </c>
      <c r="E59" s="7">
        <v>8450</v>
      </c>
      <c r="F59" s="7">
        <v>47440</v>
      </c>
      <c r="G59" s="7">
        <v>55890</v>
      </c>
      <c r="H59" s="8"/>
      <c r="I59" s="8"/>
      <c r="J59" s="9"/>
    </row>
    <row r="60" spans="1:10" x14ac:dyDescent="0.3">
      <c r="A60" s="11"/>
      <c r="B60" s="12"/>
      <c r="C60" s="12"/>
      <c r="D60" s="12"/>
      <c r="E60" s="12"/>
      <c r="F60" s="12"/>
      <c r="G60" s="12"/>
      <c r="H60" s="13"/>
      <c r="I60" s="13"/>
      <c r="J60" s="21"/>
    </row>
    <row r="61" spans="1:10" x14ac:dyDescent="0.3">
      <c r="A61" s="14"/>
      <c r="B61" s="15"/>
      <c r="C61" s="15"/>
      <c r="D61" s="15"/>
      <c r="E61" s="15"/>
      <c r="F61" s="15"/>
      <c r="G61" s="15"/>
      <c r="H61" s="33"/>
      <c r="I61" s="16"/>
      <c r="J61" s="17"/>
    </row>
    <row r="62" spans="1:10" x14ac:dyDescent="0.3">
      <c r="A62" s="11"/>
      <c r="B62" s="12"/>
      <c r="C62" s="12"/>
      <c r="D62" s="20"/>
      <c r="E62" s="20"/>
      <c r="F62" s="20"/>
      <c r="G62" s="20"/>
      <c r="H62" s="13"/>
      <c r="I62" s="13"/>
      <c r="J62" s="21"/>
    </row>
    <row r="63" spans="1:10" x14ac:dyDescent="0.3">
      <c r="A63" s="11"/>
      <c r="B63" s="12"/>
      <c r="C63" s="12"/>
      <c r="D63" s="20"/>
      <c r="E63" s="20"/>
      <c r="F63" s="20"/>
      <c r="G63" s="20"/>
      <c r="H63" s="13"/>
      <c r="I63" s="13"/>
      <c r="J63" s="21"/>
    </row>
    <row r="64" spans="1:10" x14ac:dyDescent="0.3">
      <c r="A64" s="26"/>
      <c r="B64" s="18"/>
      <c r="C64" s="18"/>
      <c r="D64" s="34"/>
      <c r="E64" s="18"/>
      <c r="F64" s="18"/>
      <c r="G64" s="34"/>
      <c r="H64" s="28"/>
      <c r="I64" s="28"/>
      <c r="J64" s="29"/>
    </row>
    <row r="65" spans="1:10" ht="15" thickBot="1" x14ac:dyDescent="0.35">
      <c r="A65" s="19"/>
      <c r="B65" s="35"/>
      <c r="C65" s="35"/>
      <c r="D65" s="36"/>
      <c r="E65" s="37"/>
      <c r="F65" s="37"/>
      <c r="G65" s="37"/>
      <c r="H65" s="38"/>
      <c r="I65" s="38"/>
      <c r="J65" s="32"/>
    </row>
    <row r="66" spans="1:10" ht="49.5" customHeight="1" x14ac:dyDescent="0.3">
      <c r="A66" s="47"/>
      <c r="B66" s="47"/>
      <c r="C66" s="47"/>
      <c r="D66" s="47"/>
      <c r="E66" s="47"/>
      <c r="F66" s="47"/>
      <c r="G66" s="47"/>
      <c r="H66" s="47"/>
      <c r="I66" s="47"/>
      <c r="J66" s="47"/>
    </row>
    <row r="67" spans="1:10" x14ac:dyDescent="0.3">
      <c r="A67" s="25"/>
    </row>
  </sheetData>
  <mergeCells count="5">
    <mergeCell ref="A1:J1"/>
    <mergeCell ref="A2:A3"/>
    <mergeCell ref="B2:D2"/>
    <mergeCell ref="E2:G2"/>
    <mergeCell ref="H2:J2"/>
  </mergeCells>
  <conditionalFormatting sqref="B4:J59">
    <cfRule type="cellIs" dxfId="3" priority="1" operator="equal">
      <formula>0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1" orientation="portrait" verticalDpi="597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66"/>
  <sheetViews>
    <sheetView topLeftCell="A29" zoomScale="55" zoomScaleNormal="55" workbookViewId="0">
      <selection activeCell="O61" sqref="O61"/>
    </sheetView>
  </sheetViews>
  <sheetFormatPr defaultRowHeight="14.4" x14ac:dyDescent="0.3"/>
  <cols>
    <col min="1" max="1" width="34" bestFit="1" customWidth="1"/>
    <col min="2" max="10" width="14.33203125" customWidth="1"/>
  </cols>
  <sheetData>
    <row r="1" spans="1:10" ht="24.75" customHeight="1" x14ac:dyDescent="0.3">
      <c r="A1" s="59" t="s">
        <v>55</v>
      </c>
      <c r="B1" s="60"/>
      <c r="C1" s="60"/>
      <c r="D1" s="60"/>
      <c r="E1" s="60"/>
      <c r="F1" s="60"/>
      <c r="G1" s="60"/>
      <c r="H1" s="60"/>
      <c r="I1" s="60"/>
      <c r="J1" s="61"/>
    </row>
    <row r="2" spans="1:10" ht="27" customHeight="1" x14ac:dyDescent="0.3">
      <c r="A2" s="73" t="s">
        <v>1</v>
      </c>
      <c r="B2" s="64" t="s">
        <v>64</v>
      </c>
      <c r="C2" s="64"/>
      <c r="D2" s="64"/>
      <c r="E2" s="64" t="s">
        <v>65</v>
      </c>
      <c r="F2" s="64"/>
      <c r="G2" s="64"/>
      <c r="H2" s="65"/>
      <c r="I2" s="65"/>
      <c r="J2" s="66"/>
    </row>
    <row r="3" spans="1:10" x14ac:dyDescent="0.3">
      <c r="A3" s="74"/>
      <c r="B3" s="1" t="s">
        <v>2</v>
      </c>
      <c r="C3" s="1" t="s">
        <v>3</v>
      </c>
      <c r="D3" s="1" t="s">
        <v>4</v>
      </c>
      <c r="E3" s="1" t="s">
        <v>2</v>
      </c>
      <c r="F3" s="1" t="s">
        <v>3</v>
      </c>
      <c r="G3" s="1" t="s">
        <v>4</v>
      </c>
      <c r="H3" s="1"/>
      <c r="I3" s="1"/>
      <c r="J3" s="2"/>
    </row>
    <row r="4" spans="1:10" x14ac:dyDescent="0.3">
      <c r="A4" s="10" t="s">
        <v>5</v>
      </c>
      <c r="B4" s="3">
        <v>112</v>
      </c>
      <c r="C4" s="3">
        <v>19246</v>
      </c>
      <c r="D4" s="3">
        <v>19358</v>
      </c>
      <c r="E4" s="3">
        <v>103</v>
      </c>
      <c r="F4" s="3">
        <v>17972</v>
      </c>
      <c r="G4" s="3">
        <v>18075</v>
      </c>
      <c r="H4" s="4"/>
      <c r="I4" s="4"/>
      <c r="J4" s="5"/>
    </row>
    <row r="5" spans="1:10" x14ac:dyDescent="0.3">
      <c r="A5" s="6" t="s">
        <v>59</v>
      </c>
      <c r="B5" s="7">
        <v>57457</v>
      </c>
      <c r="C5" s="7">
        <v>121461</v>
      </c>
      <c r="D5" s="7">
        <v>178918</v>
      </c>
      <c r="E5" s="7">
        <v>77916</v>
      </c>
      <c r="F5" s="7">
        <v>195199</v>
      </c>
      <c r="G5" s="7">
        <v>273115</v>
      </c>
      <c r="H5" s="8"/>
      <c r="I5" s="8"/>
      <c r="J5" s="9"/>
    </row>
    <row r="6" spans="1:10" x14ac:dyDescent="0.3">
      <c r="A6" s="10" t="s">
        <v>48</v>
      </c>
      <c r="B6" s="3">
        <v>81249</v>
      </c>
      <c r="C6" s="3">
        <v>41187</v>
      </c>
      <c r="D6" s="3">
        <v>122436</v>
      </c>
      <c r="E6" s="3">
        <v>108810</v>
      </c>
      <c r="F6" s="3">
        <v>67884</v>
      </c>
      <c r="G6" s="3">
        <v>176694</v>
      </c>
      <c r="H6" s="4"/>
      <c r="I6" s="4"/>
      <c r="J6" s="5"/>
    </row>
    <row r="7" spans="1:10" x14ac:dyDescent="0.3">
      <c r="A7" s="6" t="s">
        <v>6</v>
      </c>
      <c r="B7" s="7">
        <v>32883</v>
      </c>
      <c r="C7" s="7">
        <v>6891</v>
      </c>
      <c r="D7" s="7">
        <v>39774</v>
      </c>
      <c r="E7" s="7">
        <v>43510</v>
      </c>
      <c r="F7" s="7">
        <v>11854</v>
      </c>
      <c r="G7" s="7">
        <v>55364</v>
      </c>
      <c r="H7" s="8"/>
      <c r="I7" s="8"/>
      <c r="J7" s="9"/>
    </row>
    <row r="8" spans="1:10" x14ac:dyDescent="0.3">
      <c r="A8" s="10" t="s">
        <v>7</v>
      </c>
      <c r="B8" s="3">
        <v>31076</v>
      </c>
      <c r="C8" s="3">
        <v>8762</v>
      </c>
      <c r="D8" s="3">
        <v>39838</v>
      </c>
      <c r="E8" s="3">
        <v>37588</v>
      </c>
      <c r="F8" s="3">
        <v>14090</v>
      </c>
      <c r="G8" s="3">
        <v>51678</v>
      </c>
      <c r="H8" s="4"/>
      <c r="I8" s="4"/>
      <c r="J8" s="5"/>
    </row>
    <row r="9" spans="1:10" x14ac:dyDescent="0.3">
      <c r="A9" s="6" t="s">
        <v>8</v>
      </c>
      <c r="B9" s="7">
        <v>21900</v>
      </c>
      <c r="C9" s="7">
        <v>37556</v>
      </c>
      <c r="D9" s="7">
        <v>59456</v>
      </c>
      <c r="E9" s="7">
        <v>31428</v>
      </c>
      <c r="F9" s="7">
        <v>94615</v>
      </c>
      <c r="G9" s="7">
        <v>126043</v>
      </c>
      <c r="H9" s="8"/>
      <c r="I9" s="8"/>
      <c r="J9" s="9"/>
    </row>
    <row r="10" spans="1:10" x14ac:dyDescent="0.3">
      <c r="A10" s="10" t="s">
        <v>49</v>
      </c>
      <c r="B10" s="3">
        <v>1771</v>
      </c>
      <c r="C10" s="3">
        <v>476</v>
      </c>
      <c r="D10" s="3">
        <v>2247</v>
      </c>
      <c r="E10" s="3">
        <v>2905</v>
      </c>
      <c r="F10" s="3">
        <v>1833</v>
      </c>
      <c r="G10" s="3">
        <v>4738</v>
      </c>
      <c r="H10" s="4"/>
      <c r="I10" s="4"/>
      <c r="J10" s="5"/>
    </row>
    <row r="11" spans="1:10" x14ac:dyDescent="0.3">
      <c r="A11" s="6" t="s">
        <v>9</v>
      </c>
      <c r="B11" s="7">
        <v>6024</v>
      </c>
      <c r="C11" s="7">
        <v>5401</v>
      </c>
      <c r="D11" s="7">
        <v>11425</v>
      </c>
      <c r="E11" s="7">
        <v>10486</v>
      </c>
      <c r="F11" s="7">
        <v>5458</v>
      </c>
      <c r="G11" s="7">
        <v>15944</v>
      </c>
      <c r="H11" s="8"/>
      <c r="I11" s="8"/>
      <c r="J11" s="9"/>
    </row>
    <row r="12" spans="1:10" x14ac:dyDescent="0.3">
      <c r="A12" s="10" t="s">
        <v>10</v>
      </c>
      <c r="B12" s="3">
        <v>7606</v>
      </c>
      <c r="C12" s="3">
        <v>2804</v>
      </c>
      <c r="D12" s="3">
        <v>10410</v>
      </c>
      <c r="E12" s="3">
        <v>13510</v>
      </c>
      <c r="F12" s="3">
        <v>6672</v>
      </c>
      <c r="G12" s="3">
        <v>20182</v>
      </c>
      <c r="H12" s="4"/>
      <c r="I12" s="4"/>
      <c r="J12" s="5"/>
    </row>
    <row r="13" spans="1:10" x14ac:dyDescent="0.3">
      <c r="A13" s="6" t="s">
        <v>11</v>
      </c>
      <c r="B13" s="7">
        <v>15684</v>
      </c>
      <c r="C13" s="7">
        <v>1949</v>
      </c>
      <c r="D13" s="7">
        <v>17633</v>
      </c>
      <c r="E13" s="7">
        <v>19643</v>
      </c>
      <c r="F13" s="7">
        <v>3806</v>
      </c>
      <c r="G13" s="7">
        <v>23449</v>
      </c>
      <c r="H13" s="8"/>
      <c r="I13" s="8"/>
      <c r="J13" s="9"/>
    </row>
    <row r="14" spans="1:10" x14ac:dyDescent="0.3">
      <c r="A14" s="10" t="s">
        <v>12</v>
      </c>
      <c r="B14" s="3">
        <v>12109</v>
      </c>
      <c r="C14" s="3">
        <v>591</v>
      </c>
      <c r="D14" s="3">
        <v>12700</v>
      </c>
      <c r="E14" s="3">
        <v>16558</v>
      </c>
      <c r="F14" s="3">
        <v>2057</v>
      </c>
      <c r="G14" s="3">
        <v>18615</v>
      </c>
      <c r="H14" s="4"/>
      <c r="I14" s="4"/>
      <c r="J14" s="5"/>
    </row>
    <row r="15" spans="1:10" x14ac:dyDescent="0.3">
      <c r="A15" s="6" t="s">
        <v>13</v>
      </c>
      <c r="B15" s="7">
        <v>3780</v>
      </c>
      <c r="C15" s="7">
        <v>22</v>
      </c>
      <c r="D15" s="7">
        <v>3802</v>
      </c>
      <c r="E15" s="7">
        <v>5295</v>
      </c>
      <c r="F15" s="7">
        <v>26</v>
      </c>
      <c r="G15" s="7">
        <v>5321</v>
      </c>
      <c r="H15" s="8"/>
      <c r="I15" s="8"/>
      <c r="J15" s="9"/>
    </row>
    <row r="16" spans="1:10" x14ac:dyDescent="0.3">
      <c r="A16" s="10" t="s">
        <v>14</v>
      </c>
      <c r="B16" s="3">
        <v>9193</v>
      </c>
      <c r="C16" s="3">
        <v>967</v>
      </c>
      <c r="D16" s="3">
        <v>10160</v>
      </c>
      <c r="E16" s="3">
        <v>11803</v>
      </c>
      <c r="F16" s="3">
        <v>1311</v>
      </c>
      <c r="G16" s="3">
        <v>13114</v>
      </c>
      <c r="H16" s="4"/>
      <c r="I16" s="4"/>
      <c r="J16" s="5"/>
    </row>
    <row r="17" spans="1:10" x14ac:dyDescent="0.3">
      <c r="A17" s="6" t="s">
        <v>15</v>
      </c>
      <c r="B17" s="7">
        <v>928</v>
      </c>
      <c r="C17" s="7">
        <v>8</v>
      </c>
      <c r="D17" s="7">
        <v>936</v>
      </c>
      <c r="E17" s="7">
        <v>1046</v>
      </c>
      <c r="F17" s="7">
        <v>0</v>
      </c>
      <c r="G17" s="7">
        <v>1046</v>
      </c>
      <c r="H17" s="8"/>
      <c r="I17" s="8"/>
      <c r="J17" s="9"/>
    </row>
    <row r="18" spans="1:10" x14ac:dyDescent="0.3">
      <c r="A18" s="10" t="s">
        <v>16</v>
      </c>
      <c r="B18" s="3">
        <v>1489</v>
      </c>
      <c r="C18" s="3">
        <v>2</v>
      </c>
      <c r="D18" s="3">
        <v>1491</v>
      </c>
      <c r="E18" s="3">
        <v>1692</v>
      </c>
      <c r="F18" s="3">
        <v>0</v>
      </c>
      <c r="G18" s="3">
        <v>1692</v>
      </c>
      <c r="H18" s="4"/>
      <c r="I18" s="4"/>
      <c r="J18" s="5"/>
    </row>
    <row r="19" spans="1:10" x14ac:dyDescent="0.3">
      <c r="A19" s="6" t="s">
        <v>17</v>
      </c>
      <c r="B19" s="7">
        <v>710</v>
      </c>
      <c r="C19" s="7">
        <v>24</v>
      </c>
      <c r="D19" s="7">
        <v>734</v>
      </c>
      <c r="E19" s="7">
        <v>732</v>
      </c>
      <c r="F19" s="7">
        <v>134</v>
      </c>
      <c r="G19" s="7">
        <v>866</v>
      </c>
      <c r="H19" s="8"/>
      <c r="I19" s="8"/>
      <c r="J19" s="9"/>
    </row>
    <row r="20" spans="1:10" x14ac:dyDescent="0.3">
      <c r="A20" s="10" t="s">
        <v>50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4"/>
      <c r="I20" s="4"/>
      <c r="J20" s="5"/>
    </row>
    <row r="21" spans="1:10" x14ac:dyDescent="0.3">
      <c r="A21" s="6" t="s">
        <v>18</v>
      </c>
      <c r="B21" s="7">
        <v>1245</v>
      </c>
      <c r="C21" s="7">
        <v>37</v>
      </c>
      <c r="D21" s="7">
        <v>1282</v>
      </c>
      <c r="E21" s="7">
        <v>1950</v>
      </c>
      <c r="F21" s="7">
        <v>26</v>
      </c>
      <c r="G21" s="7">
        <v>1976</v>
      </c>
      <c r="H21" s="8"/>
      <c r="I21" s="8"/>
      <c r="J21" s="9"/>
    </row>
    <row r="22" spans="1:10" x14ac:dyDescent="0.3">
      <c r="A22" s="10" t="s">
        <v>19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4"/>
      <c r="I22" s="4"/>
      <c r="J22" s="5"/>
    </row>
    <row r="23" spans="1:10" x14ac:dyDescent="0.3">
      <c r="A23" s="6" t="s">
        <v>20</v>
      </c>
      <c r="B23" s="7">
        <v>2524</v>
      </c>
      <c r="C23" s="7">
        <v>8</v>
      </c>
      <c r="D23" s="7">
        <v>2532</v>
      </c>
      <c r="E23" s="7">
        <v>3410</v>
      </c>
      <c r="F23" s="7">
        <v>0</v>
      </c>
      <c r="G23" s="7">
        <v>3410</v>
      </c>
      <c r="H23" s="8"/>
      <c r="I23" s="8"/>
      <c r="J23" s="9"/>
    </row>
    <row r="24" spans="1:10" x14ac:dyDescent="0.3">
      <c r="A24" s="10" t="s">
        <v>21</v>
      </c>
      <c r="B24" s="3">
        <v>975</v>
      </c>
      <c r="C24" s="3">
        <v>2</v>
      </c>
      <c r="D24" s="3">
        <v>977</v>
      </c>
      <c r="E24" s="3">
        <v>1203</v>
      </c>
      <c r="F24" s="3">
        <v>0</v>
      </c>
      <c r="G24" s="3">
        <v>1203</v>
      </c>
      <c r="H24" s="4"/>
      <c r="I24" s="4"/>
      <c r="J24" s="5"/>
    </row>
    <row r="25" spans="1:10" x14ac:dyDescent="0.3">
      <c r="A25" s="6" t="s">
        <v>22</v>
      </c>
      <c r="B25" s="7">
        <v>390</v>
      </c>
      <c r="C25" s="7">
        <v>50</v>
      </c>
      <c r="D25" s="7">
        <v>440</v>
      </c>
      <c r="E25" s="7">
        <v>575</v>
      </c>
      <c r="F25" s="7">
        <v>8</v>
      </c>
      <c r="G25" s="7">
        <v>583</v>
      </c>
      <c r="H25" s="8"/>
      <c r="I25" s="8"/>
      <c r="J25" s="9"/>
    </row>
    <row r="26" spans="1:10" x14ac:dyDescent="0.3">
      <c r="A26" s="10" t="s">
        <v>23</v>
      </c>
      <c r="B26" s="3">
        <v>652</v>
      </c>
      <c r="C26" s="3">
        <v>8</v>
      </c>
      <c r="D26" s="3">
        <v>660</v>
      </c>
      <c r="E26" s="3">
        <v>611</v>
      </c>
      <c r="F26" s="3">
        <v>0</v>
      </c>
      <c r="G26" s="3">
        <v>611</v>
      </c>
      <c r="H26" s="4"/>
      <c r="I26" s="4"/>
      <c r="J26" s="5"/>
    </row>
    <row r="27" spans="1:10" x14ac:dyDescent="0.3">
      <c r="A27" s="6" t="s">
        <v>24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8"/>
      <c r="I27" s="8"/>
      <c r="J27" s="9"/>
    </row>
    <row r="28" spans="1:10" x14ac:dyDescent="0.3">
      <c r="A28" s="10" t="s">
        <v>25</v>
      </c>
      <c r="B28" s="3">
        <v>1945</v>
      </c>
      <c r="C28" s="3">
        <v>56</v>
      </c>
      <c r="D28" s="3">
        <v>2001</v>
      </c>
      <c r="E28" s="3">
        <v>2373</v>
      </c>
      <c r="F28" s="3">
        <v>229</v>
      </c>
      <c r="G28" s="3">
        <v>2602</v>
      </c>
      <c r="H28" s="4"/>
      <c r="I28" s="4"/>
      <c r="J28" s="5"/>
    </row>
    <row r="29" spans="1:10" x14ac:dyDescent="0.3">
      <c r="A29" s="6" t="s">
        <v>26</v>
      </c>
      <c r="B29" s="7">
        <v>7387</v>
      </c>
      <c r="C29" s="7">
        <v>189</v>
      </c>
      <c r="D29" s="7">
        <v>7576</v>
      </c>
      <c r="E29" s="7">
        <v>8318</v>
      </c>
      <c r="F29" s="7">
        <v>415</v>
      </c>
      <c r="G29" s="7">
        <v>8733</v>
      </c>
      <c r="H29" s="8"/>
      <c r="I29" s="8"/>
      <c r="J29" s="9"/>
    </row>
    <row r="30" spans="1:10" x14ac:dyDescent="0.3">
      <c r="A30" s="10" t="s">
        <v>27</v>
      </c>
      <c r="B30" s="3">
        <v>3669</v>
      </c>
      <c r="C30" s="3">
        <v>220</v>
      </c>
      <c r="D30" s="3">
        <v>3889</v>
      </c>
      <c r="E30" s="3">
        <v>3517</v>
      </c>
      <c r="F30" s="3">
        <v>335</v>
      </c>
      <c r="G30" s="3">
        <v>3852</v>
      </c>
      <c r="H30" s="4"/>
      <c r="I30" s="4"/>
      <c r="J30" s="5"/>
    </row>
    <row r="31" spans="1:10" x14ac:dyDescent="0.3">
      <c r="A31" s="6" t="s">
        <v>63</v>
      </c>
      <c r="B31" s="7">
        <v>1677</v>
      </c>
      <c r="C31" s="7">
        <v>17</v>
      </c>
      <c r="D31" s="7">
        <v>1694</v>
      </c>
      <c r="E31" s="7">
        <v>2094</v>
      </c>
      <c r="F31" s="7">
        <v>92</v>
      </c>
      <c r="G31" s="7">
        <v>2186</v>
      </c>
      <c r="H31" s="8"/>
      <c r="I31" s="8"/>
      <c r="J31" s="9"/>
    </row>
    <row r="32" spans="1:10" x14ac:dyDescent="0.3">
      <c r="A32" s="10" t="s">
        <v>51</v>
      </c>
      <c r="B32" s="3">
        <v>2</v>
      </c>
      <c r="C32" s="3">
        <v>408</v>
      </c>
      <c r="D32" s="3">
        <v>410</v>
      </c>
      <c r="E32" s="3">
        <v>2</v>
      </c>
      <c r="F32" s="3">
        <v>823</v>
      </c>
      <c r="G32" s="3">
        <v>825</v>
      </c>
      <c r="H32" s="4"/>
      <c r="I32" s="4"/>
      <c r="J32" s="5"/>
    </row>
    <row r="33" spans="1:10" x14ac:dyDescent="0.3">
      <c r="A33" s="6" t="s">
        <v>58</v>
      </c>
      <c r="B33" s="7">
        <v>766</v>
      </c>
      <c r="C33" s="7">
        <v>0</v>
      </c>
      <c r="D33" s="7">
        <v>766</v>
      </c>
      <c r="E33" s="7">
        <v>927</v>
      </c>
      <c r="F33" s="7">
        <v>0</v>
      </c>
      <c r="G33" s="7">
        <v>927</v>
      </c>
      <c r="H33" s="8"/>
      <c r="I33" s="8"/>
      <c r="J33" s="9"/>
    </row>
    <row r="34" spans="1:10" x14ac:dyDescent="0.3">
      <c r="A34" s="10" t="s">
        <v>28</v>
      </c>
      <c r="B34" s="3">
        <v>4371</v>
      </c>
      <c r="C34" s="3">
        <v>511</v>
      </c>
      <c r="D34" s="3">
        <v>4882</v>
      </c>
      <c r="E34" s="3">
        <v>5986</v>
      </c>
      <c r="F34" s="3">
        <v>303</v>
      </c>
      <c r="G34" s="3">
        <v>6289</v>
      </c>
      <c r="H34" s="4"/>
      <c r="I34" s="4"/>
      <c r="J34" s="5"/>
    </row>
    <row r="35" spans="1:10" x14ac:dyDescent="0.3">
      <c r="A35" s="6" t="s">
        <v>57</v>
      </c>
      <c r="B35" s="7">
        <v>930</v>
      </c>
      <c r="C35" s="7">
        <v>2</v>
      </c>
      <c r="D35" s="7">
        <v>932</v>
      </c>
      <c r="E35" s="7">
        <v>1277</v>
      </c>
      <c r="F35" s="7">
        <v>0</v>
      </c>
      <c r="G35" s="7">
        <v>1277</v>
      </c>
      <c r="H35" s="8"/>
      <c r="I35" s="8"/>
      <c r="J35" s="9"/>
    </row>
    <row r="36" spans="1:10" x14ac:dyDescent="0.3">
      <c r="A36" s="10" t="s">
        <v>29</v>
      </c>
      <c r="B36" s="3">
        <v>357</v>
      </c>
      <c r="C36" s="3">
        <v>33</v>
      </c>
      <c r="D36" s="3">
        <v>390</v>
      </c>
      <c r="E36" s="3">
        <v>398</v>
      </c>
      <c r="F36" s="3">
        <v>57</v>
      </c>
      <c r="G36" s="3">
        <v>455</v>
      </c>
      <c r="H36" s="4"/>
      <c r="I36" s="4"/>
      <c r="J36" s="5"/>
    </row>
    <row r="37" spans="1:10" x14ac:dyDescent="0.3">
      <c r="A37" s="6" t="s">
        <v>30</v>
      </c>
      <c r="B37" s="7">
        <v>1190</v>
      </c>
      <c r="C37" s="7">
        <v>7</v>
      </c>
      <c r="D37" s="7">
        <v>1197</v>
      </c>
      <c r="E37" s="7">
        <v>1458</v>
      </c>
      <c r="F37" s="7">
        <v>0</v>
      </c>
      <c r="G37" s="7">
        <v>1458</v>
      </c>
      <c r="H37" s="8"/>
      <c r="I37" s="8"/>
      <c r="J37" s="9"/>
    </row>
    <row r="38" spans="1:10" x14ac:dyDescent="0.3">
      <c r="A38" s="10" t="s">
        <v>31</v>
      </c>
      <c r="B38" s="3">
        <v>2596</v>
      </c>
      <c r="C38" s="3">
        <v>2</v>
      </c>
      <c r="D38" s="3">
        <v>2598</v>
      </c>
      <c r="E38" s="3">
        <v>3001</v>
      </c>
      <c r="F38" s="3">
        <v>0</v>
      </c>
      <c r="G38" s="3">
        <v>3001</v>
      </c>
      <c r="H38" s="4"/>
      <c r="I38" s="4"/>
      <c r="J38" s="5"/>
    </row>
    <row r="39" spans="1:10" x14ac:dyDescent="0.3">
      <c r="A39" s="6" t="s">
        <v>32</v>
      </c>
      <c r="B39" s="7">
        <v>238</v>
      </c>
      <c r="C39" s="7">
        <v>11</v>
      </c>
      <c r="D39" s="7">
        <v>249</v>
      </c>
      <c r="E39" s="7">
        <v>347</v>
      </c>
      <c r="F39" s="7">
        <v>2</v>
      </c>
      <c r="G39" s="7">
        <v>349</v>
      </c>
      <c r="H39" s="8"/>
      <c r="I39" s="8"/>
      <c r="J39" s="9"/>
    </row>
    <row r="40" spans="1:10" x14ac:dyDescent="0.3">
      <c r="A40" s="10" t="s">
        <v>33</v>
      </c>
      <c r="B40" s="3">
        <v>7150</v>
      </c>
      <c r="C40" s="3">
        <v>1677</v>
      </c>
      <c r="D40" s="3">
        <v>8827</v>
      </c>
      <c r="E40" s="3">
        <v>9491</v>
      </c>
      <c r="F40" s="3">
        <v>3435</v>
      </c>
      <c r="G40" s="3">
        <v>12926</v>
      </c>
      <c r="H40" s="4"/>
      <c r="I40" s="4"/>
      <c r="J40" s="5"/>
    </row>
    <row r="41" spans="1:10" x14ac:dyDescent="0.3">
      <c r="A41" s="6" t="s">
        <v>34</v>
      </c>
      <c r="B41" s="7">
        <v>76</v>
      </c>
      <c r="C41" s="7">
        <v>8</v>
      </c>
      <c r="D41" s="7">
        <v>84</v>
      </c>
      <c r="E41" s="7">
        <v>88</v>
      </c>
      <c r="F41" s="7">
        <v>0</v>
      </c>
      <c r="G41" s="7">
        <v>88</v>
      </c>
      <c r="H41" s="8"/>
      <c r="I41" s="8"/>
      <c r="J41" s="9"/>
    </row>
    <row r="42" spans="1:10" x14ac:dyDescent="0.3">
      <c r="A42" s="10" t="s">
        <v>35</v>
      </c>
      <c r="B42" s="3">
        <v>3279</v>
      </c>
      <c r="C42" s="3">
        <v>461</v>
      </c>
      <c r="D42" s="3">
        <v>3740</v>
      </c>
      <c r="E42" s="3">
        <v>4537</v>
      </c>
      <c r="F42" s="3">
        <v>852</v>
      </c>
      <c r="G42" s="3">
        <v>5389</v>
      </c>
      <c r="H42" s="4"/>
      <c r="I42" s="4"/>
      <c r="J42" s="5"/>
    </row>
    <row r="43" spans="1:10" x14ac:dyDescent="0.3">
      <c r="A43" s="6" t="s">
        <v>36</v>
      </c>
      <c r="B43" s="7">
        <v>3480</v>
      </c>
      <c r="C43" s="7">
        <v>44</v>
      </c>
      <c r="D43" s="7">
        <v>3524</v>
      </c>
      <c r="E43" s="7">
        <v>4568</v>
      </c>
      <c r="F43" s="7">
        <v>110</v>
      </c>
      <c r="G43" s="7">
        <v>4678</v>
      </c>
      <c r="H43" s="8"/>
      <c r="I43" s="8"/>
      <c r="J43" s="9"/>
    </row>
    <row r="44" spans="1:10" x14ac:dyDescent="0.3">
      <c r="A44" s="10" t="s">
        <v>37</v>
      </c>
      <c r="B44" s="3">
        <v>2698</v>
      </c>
      <c r="C44" s="3">
        <v>4</v>
      </c>
      <c r="D44" s="3">
        <v>2702</v>
      </c>
      <c r="E44" s="3">
        <v>3843</v>
      </c>
      <c r="F44" s="3">
        <v>0</v>
      </c>
      <c r="G44" s="3">
        <v>3843</v>
      </c>
      <c r="H44" s="4"/>
      <c r="I44" s="4"/>
      <c r="J44" s="5"/>
    </row>
    <row r="45" spans="1:10" x14ac:dyDescent="0.3">
      <c r="A45" s="6" t="s">
        <v>60</v>
      </c>
      <c r="B45" s="7">
        <v>1898</v>
      </c>
      <c r="C45" s="7">
        <v>8</v>
      </c>
      <c r="D45" s="7">
        <v>1906</v>
      </c>
      <c r="E45" s="7">
        <v>2481</v>
      </c>
      <c r="F45" s="7">
        <v>0</v>
      </c>
      <c r="G45" s="7">
        <v>2481</v>
      </c>
      <c r="H45" s="8"/>
      <c r="I45" s="8"/>
      <c r="J45" s="9"/>
    </row>
    <row r="46" spans="1:10" x14ac:dyDescent="0.3">
      <c r="A46" s="10" t="s">
        <v>38</v>
      </c>
      <c r="B46" s="3">
        <v>1077</v>
      </c>
      <c r="C46" s="3">
        <v>11</v>
      </c>
      <c r="D46" s="3">
        <v>1088</v>
      </c>
      <c r="E46" s="3">
        <v>1994</v>
      </c>
      <c r="F46" s="3">
        <v>96</v>
      </c>
      <c r="G46" s="3">
        <v>2090</v>
      </c>
      <c r="H46" s="4"/>
      <c r="I46" s="4"/>
      <c r="J46" s="5"/>
    </row>
    <row r="47" spans="1:10" x14ac:dyDescent="0.3">
      <c r="A47" s="6" t="s">
        <v>39</v>
      </c>
      <c r="B47" s="7">
        <v>3844</v>
      </c>
      <c r="C47" s="7">
        <v>70</v>
      </c>
      <c r="D47" s="7">
        <v>3914</v>
      </c>
      <c r="E47" s="7">
        <v>5176</v>
      </c>
      <c r="F47" s="7">
        <v>22</v>
      </c>
      <c r="G47" s="7">
        <v>5198</v>
      </c>
      <c r="H47" s="8"/>
      <c r="I47" s="8"/>
      <c r="J47" s="9"/>
    </row>
    <row r="48" spans="1:10" x14ac:dyDescent="0.3">
      <c r="A48" s="10" t="s">
        <v>40</v>
      </c>
      <c r="B48" s="3">
        <v>5739</v>
      </c>
      <c r="C48" s="3">
        <v>614</v>
      </c>
      <c r="D48" s="3">
        <v>6353</v>
      </c>
      <c r="E48" s="3">
        <v>6641</v>
      </c>
      <c r="F48" s="3">
        <v>1152</v>
      </c>
      <c r="G48" s="3">
        <v>7793</v>
      </c>
      <c r="H48" s="4"/>
      <c r="I48" s="4"/>
      <c r="J48" s="5"/>
    </row>
    <row r="49" spans="1:10" x14ac:dyDescent="0.3">
      <c r="A49" s="6" t="s">
        <v>41</v>
      </c>
      <c r="B49" s="7">
        <v>331</v>
      </c>
      <c r="C49" s="7">
        <v>0</v>
      </c>
      <c r="D49" s="7">
        <v>331</v>
      </c>
      <c r="E49" s="7">
        <v>425</v>
      </c>
      <c r="F49" s="7">
        <v>0</v>
      </c>
      <c r="G49" s="7">
        <v>425</v>
      </c>
      <c r="H49" s="8"/>
      <c r="I49" s="8"/>
      <c r="J49" s="9"/>
    </row>
    <row r="50" spans="1:10" x14ac:dyDescent="0.3">
      <c r="A50" s="10" t="s">
        <v>42</v>
      </c>
      <c r="B50" s="3">
        <v>698</v>
      </c>
      <c r="C50" s="3">
        <v>0</v>
      </c>
      <c r="D50" s="3">
        <v>698</v>
      </c>
      <c r="E50" s="3">
        <v>631</v>
      </c>
      <c r="F50" s="3">
        <v>0</v>
      </c>
      <c r="G50" s="3">
        <v>631</v>
      </c>
      <c r="H50" s="4"/>
      <c r="I50" s="4"/>
      <c r="J50" s="5"/>
    </row>
    <row r="51" spans="1:10" x14ac:dyDescent="0.3">
      <c r="A51" s="6" t="s">
        <v>43</v>
      </c>
      <c r="B51" s="7">
        <v>2212</v>
      </c>
      <c r="C51" s="7">
        <v>35</v>
      </c>
      <c r="D51" s="7">
        <v>2247</v>
      </c>
      <c r="E51" s="7">
        <v>2952</v>
      </c>
      <c r="F51" s="7">
        <v>35</v>
      </c>
      <c r="G51" s="7">
        <v>2987</v>
      </c>
      <c r="H51" s="8"/>
      <c r="I51" s="8"/>
      <c r="J51" s="9"/>
    </row>
    <row r="52" spans="1:10" x14ac:dyDescent="0.3">
      <c r="A52" s="10" t="s">
        <v>62</v>
      </c>
      <c r="B52" s="3">
        <v>2811</v>
      </c>
      <c r="C52" s="3">
        <v>46</v>
      </c>
      <c r="D52" s="3">
        <v>2857</v>
      </c>
      <c r="E52" s="3">
        <v>4029</v>
      </c>
      <c r="F52" s="3">
        <v>4</v>
      </c>
      <c r="G52" s="3">
        <v>4033</v>
      </c>
      <c r="H52" s="4"/>
      <c r="I52" s="4"/>
      <c r="J52" s="5"/>
    </row>
    <row r="53" spans="1:10" x14ac:dyDescent="0.3">
      <c r="A53" s="6" t="s">
        <v>44</v>
      </c>
      <c r="B53" s="7">
        <v>1500</v>
      </c>
      <c r="C53" s="7">
        <v>2</v>
      </c>
      <c r="D53" s="7">
        <v>1502</v>
      </c>
      <c r="E53" s="7">
        <v>2113</v>
      </c>
      <c r="F53" s="7">
        <v>0</v>
      </c>
      <c r="G53" s="7">
        <v>2113</v>
      </c>
      <c r="H53" s="8"/>
      <c r="I53" s="8"/>
      <c r="J53" s="9"/>
    </row>
    <row r="54" spans="1:10" x14ac:dyDescent="0.3">
      <c r="A54" s="10" t="s">
        <v>61</v>
      </c>
      <c r="B54" s="3">
        <v>165</v>
      </c>
      <c r="C54" s="3">
        <v>127</v>
      </c>
      <c r="D54" s="3">
        <v>292</v>
      </c>
      <c r="E54" s="3">
        <v>74</v>
      </c>
      <c r="F54" s="3">
        <v>109</v>
      </c>
      <c r="G54" s="3">
        <v>183</v>
      </c>
      <c r="H54" s="4"/>
      <c r="I54" s="4"/>
      <c r="J54" s="5"/>
    </row>
    <row r="55" spans="1:10" x14ac:dyDescent="0.3">
      <c r="A55" s="6" t="s">
        <v>45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8"/>
      <c r="I55" s="8"/>
      <c r="J55" s="9"/>
    </row>
    <row r="56" spans="1:10" x14ac:dyDescent="0.3">
      <c r="A56" s="10" t="s">
        <v>46</v>
      </c>
      <c r="B56" s="3">
        <v>68</v>
      </c>
      <c r="C56" s="3">
        <v>5</v>
      </c>
      <c r="D56" s="3">
        <v>73</v>
      </c>
      <c r="E56" s="3">
        <v>2</v>
      </c>
      <c r="F56" s="3">
        <v>0</v>
      </c>
      <c r="G56" s="3">
        <v>2</v>
      </c>
      <c r="H56" s="4"/>
      <c r="I56" s="4"/>
      <c r="J56" s="5"/>
    </row>
    <row r="57" spans="1:10" x14ac:dyDescent="0.3">
      <c r="A57" s="6" t="s">
        <v>47</v>
      </c>
      <c r="B57" s="7">
        <v>6270</v>
      </c>
      <c r="C57" s="7">
        <v>15</v>
      </c>
      <c r="D57" s="7">
        <v>6285</v>
      </c>
      <c r="E57" s="7">
        <v>7907</v>
      </c>
      <c r="F57" s="7">
        <v>0</v>
      </c>
      <c r="G57" s="7">
        <v>7907</v>
      </c>
      <c r="H57" s="8"/>
      <c r="I57" s="8"/>
      <c r="J57" s="9"/>
    </row>
    <row r="58" spans="1:10" x14ac:dyDescent="0.3">
      <c r="A58" s="10" t="s">
        <v>52</v>
      </c>
      <c r="B58" s="3">
        <v>98</v>
      </c>
      <c r="C58" s="3">
        <v>49</v>
      </c>
      <c r="D58" s="3">
        <v>147</v>
      </c>
      <c r="E58" s="3">
        <v>258</v>
      </c>
      <c r="F58" s="3">
        <v>42</v>
      </c>
      <c r="G58" s="3">
        <v>300</v>
      </c>
      <c r="H58" s="4"/>
      <c r="I58" s="4"/>
      <c r="J58" s="5"/>
    </row>
    <row r="59" spans="1:10" x14ac:dyDescent="0.3">
      <c r="A59" s="6" t="s">
        <v>53</v>
      </c>
      <c r="B59" s="7">
        <v>38</v>
      </c>
      <c r="C59" s="7">
        <v>48</v>
      </c>
      <c r="D59" s="7">
        <v>86</v>
      </c>
      <c r="E59" s="7">
        <v>109</v>
      </c>
      <c r="F59" s="7">
        <v>325</v>
      </c>
      <c r="G59" s="7">
        <v>434</v>
      </c>
      <c r="H59" s="8"/>
      <c r="I59" s="8"/>
      <c r="J59" s="9"/>
    </row>
    <row r="60" spans="1:10" x14ac:dyDescent="0.3">
      <c r="A60" s="48"/>
      <c r="B60" s="48"/>
      <c r="C60" s="48"/>
      <c r="D60" s="48"/>
      <c r="E60" s="48"/>
      <c r="F60" s="48"/>
      <c r="G60" s="48"/>
      <c r="H60" s="48"/>
      <c r="I60" s="48"/>
      <c r="J60" s="48"/>
    </row>
    <row r="61" spans="1:10" x14ac:dyDescent="0.3">
      <c r="A61" s="48"/>
      <c r="B61" s="48"/>
      <c r="C61" s="48"/>
      <c r="D61" s="48"/>
      <c r="E61" s="48"/>
      <c r="F61" s="48"/>
      <c r="G61" s="48"/>
      <c r="H61" s="48"/>
      <c r="I61" s="48"/>
      <c r="J61" s="48"/>
    </row>
    <row r="62" spans="1:10" x14ac:dyDescent="0.3">
      <c r="A62" s="48"/>
      <c r="B62" s="48"/>
      <c r="C62" s="48"/>
      <c r="D62" s="48"/>
      <c r="E62" s="48"/>
      <c r="F62" s="48"/>
      <c r="G62" s="48"/>
      <c r="H62" s="48"/>
      <c r="I62" s="48"/>
      <c r="J62" s="48"/>
    </row>
    <row r="63" spans="1:10" x14ac:dyDescent="0.3">
      <c r="A63" s="48"/>
      <c r="B63" s="48"/>
      <c r="C63" s="48"/>
      <c r="D63" s="48"/>
      <c r="E63" s="48"/>
      <c r="F63" s="48"/>
      <c r="G63" s="48"/>
      <c r="H63" s="48"/>
      <c r="I63" s="48"/>
      <c r="J63" s="48"/>
    </row>
    <row r="64" spans="1:10" x14ac:dyDescent="0.3">
      <c r="A64" s="48"/>
      <c r="B64" s="48"/>
      <c r="C64" s="48"/>
      <c r="D64" s="48"/>
      <c r="E64" s="48"/>
      <c r="F64" s="48"/>
      <c r="G64" s="48"/>
      <c r="H64" s="48"/>
      <c r="I64" s="48"/>
      <c r="J64" s="48"/>
    </row>
    <row r="65" spans="1:10" ht="50.25" customHeight="1" x14ac:dyDescent="0.3">
      <c r="A65" s="48"/>
      <c r="B65" s="48"/>
      <c r="C65" s="48"/>
      <c r="D65" s="48"/>
      <c r="E65" s="48"/>
      <c r="F65" s="48"/>
      <c r="G65" s="48"/>
      <c r="H65" s="48"/>
      <c r="I65" s="48"/>
      <c r="J65" s="48"/>
    </row>
    <row r="66" spans="1:10" x14ac:dyDescent="0.3">
      <c r="A66" s="25"/>
    </row>
  </sheetData>
  <mergeCells count="5">
    <mergeCell ref="A1:J1"/>
    <mergeCell ref="A2:A3"/>
    <mergeCell ref="B2:D2"/>
    <mergeCell ref="E2:G2"/>
    <mergeCell ref="H2:J2"/>
  </mergeCells>
  <conditionalFormatting sqref="B4:J59">
    <cfRule type="cellIs" dxfId="2" priority="1" operator="equal">
      <formula>0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3" orientation="portrait" verticalDpi="597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69"/>
  <sheetViews>
    <sheetView topLeftCell="A23" zoomScale="55" zoomScaleNormal="55" workbookViewId="0">
      <selection activeCell="P39" sqref="P39"/>
    </sheetView>
  </sheetViews>
  <sheetFormatPr defaultRowHeight="14.4" x14ac:dyDescent="0.3"/>
  <cols>
    <col min="1" max="1" width="34" bestFit="1" customWidth="1"/>
    <col min="2" max="10" width="14.33203125" customWidth="1"/>
  </cols>
  <sheetData>
    <row r="1" spans="1:10" ht="18" customHeight="1" x14ac:dyDescent="0.3">
      <c r="A1" s="59" t="s">
        <v>56</v>
      </c>
      <c r="B1" s="60"/>
      <c r="C1" s="60"/>
      <c r="D1" s="60"/>
      <c r="E1" s="60"/>
      <c r="F1" s="60"/>
      <c r="G1" s="60"/>
      <c r="H1" s="60"/>
      <c r="I1" s="60"/>
      <c r="J1" s="61"/>
    </row>
    <row r="2" spans="1:10" ht="30" customHeight="1" x14ac:dyDescent="0.3">
      <c r="A2" s="73" t="s">
        <v>1</v>
      </c>
      <c r="B2" s="64" t="s">
        <v>64</v>
      </c>
      <c r="C2" s="64"/>
      <c r="D2" s="64"/>
      <c r="E2" s="64" t="s">
        <v>65</v>
      </c>
      <c r="F2" s="64"/>
      <c r="G2" s="64"/>
      <c r="H2" s="65"/>
      <c r="I2" s="65"/>
      <c r="J2" s="66"/>
    </row>
    <row r="3" spans="1:10" x14ac:dyDescent="0.3">
      <c r="A3" s="74"/>
      <c r="B3" s="1" t="s">
        <v>2</v>
      </c>
      <c r="C3" s="1" t="s">
        <v>3</v>
      </c>
      <c r="D3" s="1" t="s">
        <v>4</v>
      </c>
      <c r="E3" s="1" t="s">
        <v>2</v>
      </c>
      <c r="F3" s="1" t="s">
        <v>3</v>
      </c>
      <c r="G3" s="1" t="s">
        <v>4</v>
      </c>
      <c r="H3" s="1"/>
      <c r="I3" s="1"/>
      <c r="J3" s="2"/>
    </row>
    <row r="4" spans="1:10" x14ac:dyDescent="0.3">
      <c r="A4" s="10" t="s">
        <v>5</v>
      </c>
      <c r="B4" s="3">
        <v>2032.9180000000001</v>
      </c>
      <c r="C4" s="3">
        <v>828174.64100000006</v>
      </c>
      <c r="D4" s="3">
        <v>830207.55900000001</v>
      </c>
      <c r="E4" s="3">
        <v>4911.8880000000008</v>
      </c>
      <c r="F4" s="3">
        <v>836703.58100000001</v>
      </c>
      <c r="G4" s="3">
        <v>841615.46900000004</v>
      </c>
      <c r="H4" s="4"/>
      <c r="I4" s="4"/>
      <c r="J4" s="5"/>
    </row>
    <row r="5" spans="1:10" x14ac:dyDescent="0.3">
      <c r="A5" s="6" t="s">
        <v>59</v>
      </c>
      <c r="B5" s="7">
        <v>97493.535000000003</v>
      </c>
      <c r="C5" s="7">
        <v>868146.40700000012</v>
      </c>
      <c r="D5" s="7">
        <v>965639.94200000016</v>
      </c>
      <c r="E5" s="7">
        <v>153678.10100000002</v>
      </c>
      <c r="F5" s="7">
        <v>1376099.577</v>
      </c>
      <c r="G5" s="7">
        <v>1529777.6780000001</v>
      </c>
      <c r="H5" s="8"/>
      <c r="I5" s="8"/>
      <c r="J5" s="9"/>
    </row>
    <row r="6" spans="1:10" x14ac:dyDescent="0.3">
      <c r="A6" s="10" t="s">
        <v>48</v>
      </c>
      <c r="B6" s="3">
        <v>101870.262</v>
      </c>
      <c r="C6" s="3">
        <v>117326.287</v>
      </c>
      <c r="D6" s="3">
        <v>219196.549</v>
      </c>
      <c r="E6" s="3">
        <v>131676.44999999998</v>
      </c>
      <c r="F6" s="3">
        <v>173241.91599999997</v>
      </c>
      <c r="G6" s="3">
        <v>304918.36599999992</v>
      </c>
      <c r="H6" s="4"/>
      <c r="I6" s="4"/>
      <c r="J6" s="5"/>
    </row>
    <row r="7" spans="1:10" x14ac:dyDescent="0.3">
      <c r="A7" s="6" t="s">
        <v>6</v>
      </c>
      <c r="B7" s="7">
        <v>39764.401000000005</v>
      </c>
      <c r="C7" s="7">
        <v>19472.098000000002</v>
      </c>
      <c r="D7" s="7">
        <v>59236.499000000011</v>
      </c>
      <c r="E7" s="7">
        <v>52516.436000000009</v>
      </c>
      <c r="F7" s="7">
        <v>26380.48</v>
      </c>
      <c r="G7" s="7">
        <v>78896.916000000012</v>
      </c>
      <c r="H7" s="8"/>
      <c r="I7" s="8"/>
      <c r="J7" s="9"/>
    </row>
    <row r="8" spans="1:10" x14ac:dyDescent="0.3">
      <c r="A8" s="10" t="s">
        <v>7</v>
      </c>
      <c r="B8" s="3">
        <v>48024.438999999998</v>
      </c>
      <c r="C8" s="3">
        <v>23652.395</v>
      </c>
      <c r="D8" s="3">
        <v>71676.834000000003</v>
      </c>
      <c r="E8" s="3">
        <v>71291.075000000012</v>
      </c>
      <c r="F8" s="3">
        <v>37841.553999999996</v>
      </c>
      <c r="G8" s="3">
        <v>109132.62900000002</v>
      </c>
      <c r="H8" s="4"/>
      <c r="I8" s="4"/>
      <c r="J8" s="5"/>
    </row>
    <row r="9" spans="1:10" x14ac:dyDescent="0.3">
      <c r="A9" s="6" t="s">
        <v>8</v>
      </c>
      <c r="B9" s="7">
        <v>30003.164000000001</v>
      </c>
      <c r="C9" s="7">
        <v>86300.146000000008</v>
      </c>
      <c r="D9" s="7">
        <v>116303.31000000001</v>
      </c>
      <c r="E9" s="7">
        <v>47073.599999999999</v>
      </c>
      <c r="F9" s="7">
        <v>209874.45600000001</v>
      </c>
      <c r="G9" s="7">
        <v>256948.05600000001</v>
      </c>
      <c r="H9" s="8"/>
      <c r="I9" s="8"/>
      <c r="J9" s="9"/>
    </row>
    <row r="10" spans="1:10" x14ac:dyDescent="0.3">
      <c r="A10" s="10" t="s">
        <v>49</v>
      </c>
      <c r="B10" s="3">
        <v>2146.8319999999999</v>
      </c>
      <c r="C10" s="3">
        <v>754.39300000000003</v>
      </c>
      <c r="D10" s="3">
        <v>2901.2249999999999</v>
      </c>
      <c r="E10" s="3">
        <v>3521.8719999999994</v>
      </c>
      <c r="F10" s="3">
        <v>2718.4910000000004</v>
      </c>
      <c r="G10" s="3">
        <v>6240.3629999999994</v>
      </c>
      <c r="H10" s="4"/>
      <c r="I10" s="4"/>
      <c r="J10" s="5"/>
    </row>
    <row r="11" spans="1:10" x14ac:dyDescent="0.3">
      <c r="A11" s="6" t="s">
        <v>9</v>
      </c>
      <c r="B11" s="7">
        <v>7533.7800000000007</v>
      </c>
      <c r="C11" s="7">
        <v>12059.504999999999</v>
      </c>
      <c r="D11" s="7">
        <v>19593.285</v>
      </c>
      <c r="E11" s="7">
        <v>12961.098000000002</v>
      </c>
      <c r="F11" s="7">
        <v>10979.457999999999</v>
      </c>
      <c r="G11" s="7">
        <v>23940.556</v>
      </c>
      <c r="H11" s="8"/>
      <c r="I11" s="8"/>
      <c r="J11" s="9"/>
    </row>
    <row r="12" spans="1:10" x14ac:dyDescent="0.3">
      <c r="A12" s="10" t="s">
        <v>10</v>
      </c>
      <c r="B12" s="3">
        <v>9715.2059999999983</v>
      </c>
      <c r="C12" s="3">
        <v>6336.9979999999987</v>
      </c>
      <c r="D12" s="3">
        <v>16052.203999999998</v>
      </c>
      <c r="E12" s="3">
        <v>17190.202000000001</v>
      </c>
      <c r="F12" s="3">
        <v>13448.932000000001</v>
      </c>
      <c r="G12" s="3">
        <v>30639.134000000002</v>
      </c>
      <c r="H12" s="4"/>
      <c r="I12" s="4"/>
      <c r="J12" s="5"/>
    </row>
    <row r="13" spans="1:10" x14ac:dyDescent="0.3">
      <c r="A13" s="6" t="s">
        <v>11</v>
      </c>
      <c r="B13" s="7">
        <v>22544.445</v>
      </c>
      <c r="C13" s="7">
        <v>4930.9270000000006</v>
      </c>
      <c r="D13" s="7">
        <v>27475.371999999999</v>
      </c>
      <c r="E13" s="7">
        <v>30753.936999999998</v>
      </c>
      <c r="F13" s="7">
        <v>11471.186</v>
      </c>
      <c r="G13" s="7">
        <v>42225.123</v>
      </c>
      <c r="H13" s="8"/>
      <c r="I13" s="8"/>
      <c r="J13" s="9"/>
    </row>
    <row r="14" spans="1:10" x14ac:dyDescent="0.3">
      <c r="A14" s="10" t="s">
        <v>12</v>
      </c>
      <c r="B14" s="3">
        <v>16351.656000000001</v>
      </c>
      <c r="C14" s="3">
        <v>1636.1530000000002</v>
      </c>
      <c r="D14" s="3">
        <v>17987.809000000001</v>
      </c>
      <c r="E14" s="3">
        <v>21643.378999999997</v>
      </c>
      <c r="F14" s="3">
        <v>5116.3279999999995</v>
      </c>
      <c r="G14" s="3">
        <v>26759.706999999995</v>
      </c>
      <c r="H14" s="4"/>
      <c r="I14" s="4"/>
      <c r="J14" s="5"/>
    </row>
    <row r="15" spans="1:10" x14ac:dyDescent="0.3">
      <c r="A15" s="6" t="s">
        <v>13</v>
      </c>
      <c r="B15" s="7">
        <v>5408.3819999999987</v>
      </c>
      <c r="C15" s="7">
        <v>46.522999999999996</v>
      </c>
      <c r="D15" s="7">
        <v>5454.9049999999988</v>
      </c>
      <c r="E15" s="7">
        <v>6758.5629999999992</v>
      </c>
      <c r="F15" s="7">
        <v>52.547000000000004</v>
      </c>
      <c r="G15" s="7">
        <v>6811.1099999999988</v>
      </c>
      <c r="H15" s="8"/>
      <c r="I15" s="8"/>
      <c r="J15" s="9"/>
    </row>
    <row r="16" spans="1:10" x14ac:dyDescent="0.3">
      <c r="A16" s="10" t="s">
        <v>14</v>
      </c>
      <c r="B16" s="3">
        <v>11915.499</v>
      </c>
      <c r="C16" s="3">
        <v>3101.3520000000003</v>
      </c>
      <c r="D16" s="3">
        <v>15016.851000000001</v>
      </c>
      <c r="E16" s="3">
        <v>15861.154</v>
      </c>
      <c r="F16" s="3">
        <v>4179.5839999999998</v>
      </c>
      <c r="G16" s="3">
        <v>20040.738000000001</v>
      </c>
      <c r="H16" s="4"/>
      <c r="I16" s="4"/>
      <c r="J16" s="5"/>
    </row>
    <row r="17" spans="1:10" x14ac:dyDescent="0.3">
      <c r="A17" s="6" t="s">
        <v>15</v>
      </c>
      <c r="B17" s="7">
        <v>1244.1879999999999</v>
      </c>
      <c r="C17" s="7">
        <v>26.011999999999997</v>
      </c>
      <c r="D17" s="7">
        <v>1270.1999999999998</v>
      </c>
      <c r="E17" s="7">
        <v>1281.5409999999999</v>
      </c>
      <c r="F17" s="7">
        <v>0</v>
      </c>
      <c r="G17" s="7">
        <v>1281.5409999999999</v>
      </c>
      <c r="H17" s="8"/>
      <c r="I17" s="8"/>
      <c r="J17" s="9"/>
    </row>
    <row r="18" spans="1:10" x14ac:dyDescent="0.3">
      <c r="A18" s="10" t="s">
        <v>16</v>
      </c>
      <c r="B18" s="3">
        <v>2201.2759999999998</v>
      </c>
      <c r="C18" s="3">
        <v>8.7159999999999993</v>
      </c>
      <c r="D18" s="3">
        <v>2209.9919999999997</v>
      </c>
      <c r="E18" s="3">
        <v>2341.6880000000001</v>
      </c>
      <c r="F18" s="3">
        <v>0</v>
      </c>
      <c r="G18" s="3">
        <v>2341.6880000000001</v>
      </c>
      <c r="H18" s="4"/>
      <c r="I18" s="4"/>
      <c r="J18" s="5"/>
    </row>
    <row r="19" spans="1:10" x14ac:dyDescent="0.3">
      <c r="A19" s="6" t="s">
        <v>17</v>
      </c>
      <c r="B19" s="7">
        <v>786.38900000000001</v>
      </c>
      <c r="C19" s="7">
        <v>92.606999999999971</v>
      </c>
      <c r="D19" s="7">
        <v>878.99599999999998</v>
      </c>
      <c r="E19" s="7">
        <v>862.37999999999988</v>
      </c>
      <c r="F19" s="7">
        <v>395.68099999999998</v>
      </c>
      <c r="G19" s="7">
        <v>1258.0609999999999</v>
      </c>
      <c r="H19" s="8"/>
      <c r="I19" s="8"/>
      <c r="J19" s="9"/>
    </row>
    <row r="20" spans="1:10" x14ac:dyDescent="0.3">
      <c r="A20" s="10" t="s">
        <v>50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4"/>
      <c r="I20" s="4"/>
      <c r="J20" s="5"/>
    </row>
    <row r="21" spans="1:10" x14ac:dyDescent="0.3">
      <c r="A21" s="6" t="s">
        <v>18</v>
      </c>
      <c r="B21" s="7">
        <v>1336.43</v>
      </c>
      <c r="C21" s="7">
        <v>118.258</v>
      </c>
      <c r="D21" s="7">
        <v>1454.6880000000001</v>
      </c>
      <c r="E21" s="7">
        <v>2168.3690000000006</v>
      </c>
      <c r="F21" s="7">
        <v>72.670999999999992</v>
      </c>
      <c r="G21" s="7">
        <v>2241.0400000000004</v>
      </c>
      <c r="H21" s="8"/>
      <c r="I21" s="8"/>
      <c r="J21" s="9"/>
    </row>
    <row r="22" spans="1:10" x14ac:dyDescent="0.3">
      <c r="A22" s="10" t="s">
        <v>19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4"/>
      <c r="I22" s="4"/>
      <c r="J22" s="5"/>
    </row>
    <row r="23" spans="1:10" x14ac:dyDescent="0.3">
      <c r="A23" s="6" t="s">
        <v>20</v>
      </c>
      <c r="B23" s="7">
        <v>3856.6779999999999</v>
      </c>
      <c r="C23" s="7">
        <v>26.548999999999999</v>
      </c>
      <c r="D23" s="7">
        <v>3883.2269999999999</v>
      </c>
      <c r="E23" s="7">
        <v>4993.5689999999995</v>
      </c>
      <c r="F23" s="7">
        <v>0</v>
      </c>
      <c r="G23" s="7">
        <v>4993.5689999999995</v>
      </c>
      <c r="H23" s="8"/>
      <c r="I23" s="8"/>
      <c r="J23" s="9"/>
    </row>
    <row r="24" spans="1:10" x14ac:dyDescent="0.3">
      <c r="A24" s="10" t="s">
        <v>21</v>
      </c>
      <c r="B24" s="3">
        <v>1278.0540000000001</v>
      </c>
      <c r="C24" s="3">
        <v>6.1079999999999997</v>
      </c>
      <c r="D24" s="3">
        <v>1284.162</v>
      </c>
      <c r="E24" s="3">
        <v>1449.1779999999999</v>
      </c>
      <c r="F24" s="3">
        <v>0</v>
      </c>
      <c r="G24" s="3">
        <v>1449.1779999999999</v>
      </c>
      <c r="H24" s="4"/>
      <c r="I24" s="4"/>
      <c r="J24" s="5"/>
    </row>
    <row r="25" spans="1:10" x14ac:dyDescent="0.3">
      <c r="A25" s="6" t="s">
        <v>22</v>
      </c>
      <c r="B25" s="7">
        <v>508.66599999999994</v>
      </c>
      <c r="C25" s="7">
        <v>205.97800000000001</v>
      </c>
      <c r="D25" s="7">
        <v>714.64400000000001</v>
      </c>
      <c r="E25" s="7">
        <v>777.69399999999996</v>
      </c>
      <c r="F25" s="7">
        <v>5.3360000000000003</v>
      </c>
      <c r="G25" s="7">
        <v>783.03</v>
      </c>
      <c r="H25" s="8"/>
      <c r="I25" s="8"/>
      <c r="J25" s="9"/>
    </row>
    <row r="26" spans="1:10" x14ac:dyDescent="0.3">
      <c r="A26" s="10" t="s">
        <v>23</v>
      </c>
      <c r="B26" s="3">
        <v>628.50300000000004</v>
      </c>
      <c r="C26" s="3">
        <v>30.265999999999998</v>
      </c>
      <c r="D26" s="3">
        <v>658.76900000000001</v>
      </c>
      <c r="E26" s="3">
        <v>789.096</v>
      </c>
      <c r="F26" s="3">
        <v>0</v>
      </c>
      <c r="G26" s="3">
        <v>789.096</v>
      </c>
      <c r="H26" s="4"/>
      <c r="I26" s="4"/>
      <c r="J26" s="5"/>
    </row>
    <row r="27" spans="1:10" x14ac:dyDescent="0.3">
      <c r="A27" s="6" t="s">
        <v>24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8"/>
      <c r="I27" s="8"/>
      <c r="J27" s="9"/>
    </row>
    <row r="28" spans="1:10" x14ac:dyDescent="0.3">
      <c r="A28" s="10" t="s">
        <v>25</v>
      </c>
      <c r="B28" s="3">
        <v>2094.5520000000001</v>
      </c>
      <c r="C28" s="3">
        <v>215.52199999999999</v>
      </c>
      <c r="D28" s="3">
        <v>2310.0740000000001</v>
      </c>
      <c r="E28" s="3">
        <v>2656.7529999999997</v>
      </c>
      <c r="F28" s="3">
        <v>798.67699999999991</v>
      </c>
      <c r="G28" s="3">
        <v>3455.4299999999994</v>
      </c>
      <c r="H28" s="4"/>
      <c r="I28" s="4"/>
      <c r="J28" s="5"/>
    </row>
    <row r="29" spans="1:10" x14ac:dyDescent="0.3">
      <c r="A29" s="6" t="s">
        <v>26</v>
      </c>
      <c r="B29" s="7">
        <v>9757.7759999999998</v>
      </c>
      <c r="C29" s="7">
        <v>665.60799999999995</v>
      </c>
      <c r="D29" s="7">
        <v>10423.384</v>
      </c>
      <c r="E29" s="7">
        <v>10497.333999999999</v>
      </c>
      <c r="F29" s="7">
        <v>1402.3030000000001</v>
      </c>
      <c r="G29" s="7">
        <v>11899.636999999999</v>
      </c>
      <c r="H29" s="8"/>
      <c r="I29" s="8"/>
      <c r="J29" s="9"/>
    </row>
    <row r="30" spans="1:10" x14ac:dyDescent="0.3">
      <c r="A30" s="10" t="s">
        <v>27</v>
      </c>
      <c r="B30" s="3">
        <v>5214.5320000000011</v>
      </c>
      <c r="C30" s="3">
        <v>681.71800000000007</v>
      </c>
      <c r="D30" s="3">
        <v>5896.2500000000009</v>
      </c>
      <c r="E30" s="3">
        <v>5016.6680000000006</v>
      </c>
      <c r="F30" s="3">
        <v>1117.1540000000002</v>
      </c>
      <c r="G30" s="3">
        <v>6133.822000000001</v>
      </c>
      <c r="H30" s="4"/>
      <c r="I30" s="4"/>
      <c r="J30" s="5"/>
    </row>
    <row r="31" spans="1:10" x14ac:dyDescent="0.3">
      <c r="A31" s="6" t="s">
        <v>63</v>
      </c>
      <c r="B31" s="7">
        <v>2118.6469999999999</v>
      </c>
      <c r="C31" s="7">
        <v>53.058000000000007</v>
      </c>
      <c r="D31" s="7">
        <v>2171.7049999999999</v>
      </c>
      <c r="E31" s="7">
        <v>2629.5400000000004</v>
      </c>
      <c r="F31" s="7">
        <v>250.18000000000004</v>
      </c>
      <c r="G31" s="7">
        <v>2879.7200000000003</v>
      </c>
      <c r="H31" s="8"/>
      <c r="I31" s="8"/>
      <c r="J31" s="9"/>
    </row>
    <row r="32" spans="1:10" x14ac:dyDescent="0.3">
      <c r="A32" s="10" t="s">
        <v>51</v>
      </c>
      <c r="B32" s="3">
        <v>0.64400000000000002</v>
      </c>
      <c r="C32" s="3">
        <v>1211.2249999999999</v>
      </c>
      <c r="D32" s="3">
        <v>1211.8689999999999</v>
      </c>
      <c r="E32" s="3">
        <v>0.04</v>
      </c>
      <c r="F32" s="3">
        <v>2219.2719999999999</v>
      </c>
      <c r="G32" s="3">
        <v>2219.3119999999999</v>
      </c>
      <c r="H32" s="4"/>
      <c r="I32" s="4"/>
      <c r="J32" s="5"/>
    </row>
    <row r="33" spans="1:10" x14ac:dyDescent="0.3">
      <c r="A33" s="6" t="s">
        <v>58</v>
      </c>
      <c r="B33" s="7">
        <v>1266.8320000000001</v>
      </c>
      <c r="C33" s="7">
        <v>0</v>
      </c>
      <c r="D33" s="7">
        <v>1266.8320000000001</v>
      </c>
      <c r="E33" s="7">
        <v>1357.748</v>
      </c>
      <c r="F33" s="7">
        <v>0</v>
      </c>
      <c r="G33" s="7">
        <v>1357.748</v>
      </c>
      <c r="H33" s="8"/>
      <c r="I33" s="8"/>
      <c r="J33" s="9"/>
    </row>
    <row r="34" spans="1:10" x14ac:dyDescent="0.3">
      <c r="A34" s="10" t="s">
        <v>28</v>
      </c>
      <c r="B34" s="3">
        <v>6194.4220000000005</v>
      </c>
      <c r="C34" s="3">
        <v>1028.7290000000003</v>
      </c>
      <c r="D34" s="3">
        <v>7223.1510000000007</v>
      </c>
      <c r="E34" s="3">
        <v>8948.5360000000001</v>
      </c>
      <c r="F34" s="3">
        <v>701.71799999999996</v>
      </c>
      <c r="G34" s="3">
        <v>9650.2540000000008</v>
      </c>
      <c r="H34" s="4"/>
      <c r="I34" s="4"/>
      <c r="J34" s="5"/>
    </row>
    <row r="35" spans="1:10" x14ac:dyDescent="0.3">
      <c r="A35" s="6" t="s">
        <v>57</v>
      </c>
      <c r="B35" s="7">
        <v>1582.376</v>
      </c>
      <c r="C35" s="7">
        <v>5.157</v>
      </c>
      <c r="D35" s="7">
        <v>1587.5329999999999</v>
      </c>
      <c r="E35" s="7">
        <v>2103.1390000000001</v>
      </c>
      <c r="F35" s="7">
        <v>0</v>
      </c>
      <c r="G35" s="7">
        <v>2103.1390000000001</v>
      </c>
      <c r="H35" s="8"/>
      <c r="I35" s="8"/>
      <c r="J35" s="9"/>
    </row>
    <row r="36" spans="1:10" x14ac:dyDescent="0.3">
      <c r="A36" s="10" t="s">
        <v>29</v>
      </c>
      <c r="B36" s="3">
        <v>348.29300000000001</v>
      </c>
      <c r="C36" s="3">
        <v>133.30799999999996</v>
      </c>
      <c r="D36" s="3">
        <v>481.601</v>
      </c>
      <c r="E36" s="3">
        <v>405.04700000000003</v>
      </c>
      <c r="F36" s="3">
        <v>213.26700000000002</v>
      </c>
      <c r="G36" s="3">
        <v>618.31400000000008</v>
      </c>
      <c r="H36" s="4"/>
      <c r="I36" s="4"/>
      <c r="J36" s="5"/>
    </row>
    <row r="37" spans="1:10" x14ac:dyDescent="0.3">
      <c r="A37" s="6" t="s">
        <v>30</v>
      </c>
      <c r="B37" s="7">
        <v>1319.9129999999998</v>
      </c>
      <c r="C37" s="7">
        <v>13.874000000000001</v>
      </c>
      <c r="D37" s="7">
        <v>1333.7869999999998</v>
      </c>
      <c r="E37" s="7">
        <v>1535.1489999999999</v>
      </c>
      <c r="F37" s="7">
        <v>0</v>
      </c>
      <c r="G37" s="7">
        <v>1535.1489999999999</v>
      </c>
      <c r="H37" s="8"/>
      <c r="I37" s="8"/>
      <c r="J37" s="9"/>
    </row>
    <row r="38" spans="1:10" x14ac:dyDescent="0.3">
      <c r="A38" s="10" t="s">
        <v>31</v>
      </c>
      <c r="B38" s="3">
        <v>4030.1510000000003</v>
      </c>
      <c r="C38" s="3">
        <v>5.1980000000000004</v>
      </c>
      <c r="D38" s="3">
        <v>4035.3490000000002</v>
      </c>
      <c r="E38" s="3">
        <v>4321.598</v>
      </c>
      <c r="F38" s="3">
        <v>0</v>
      </c>
      <c r="G38" s="3">
        <v>4321.598</v>
      </c>
      <c r="H38" s="4"/>
      <c r="I38" s="4"/>
      <c r="J38" s="5"/>
    </row>
    <row r="39" spans="1:10" x14ac:dyDescent="0.3">
      <c r="A39" s="6" t="s">
        <v>32</v>
      </c>
      <c r="B39" s="7">
        <v>194.19400000000002</v>
      </c>
      <c r="C39" s="7">
        <v>29.614000000000001</v>
      </c>
      <c r="D39" s="7">
        <v>223.80800000000002</v>
      </c>
      <c r="E39" s="7">
        <v>241.90899999999999</v>
      </c>
      <c r="F39" s="7">
        <v>0.63600000000000001</v>
      </c>
      <c r="G39" s="7">
        <v>242.54499999999999</v>
      </c>
      <c r="H39" s="8"/>
      <c r="I39" s="8"/>
      <c r="J39" s="9"/>
    </row>
    <row r="40" spans="1:10" x14ac:dyDescent="0.3">
      <c r="A40" s="10" t="s">
        <v>33</v>
      </c>
      <c r="B40" s="3">
        <v>9707.9989999999998</v>
      </c>
      <c r="C40" s="3">
        <v>4836.3540000000003</v>
      </c>
      <c r="D40" s="3">
        <v>14544.352999999999</v>
      </c>
      <c r="E40" s="3">
        <v>12009.025</v>
      </c>
      <c r="F40" s="3">
        <v>8738.0780000000013</v>
      </c>
      <c r="G40" s="3">
        <v>20747.103000000003</v>
      </c>
      <c r="H40" s="4"/>
      <c r="I40" s="4"/>
      <c r="J40" s="5"/>
    </row>
    <row r="41" spans="1:10" x14ac:dyDescent="0.3">
      <c r="A41" s="6" t="s">
        <v>34</v>
      </c>
      <c r="B41" s="7">
        <v>109.32100000000001</v>
      </c>
      <c r="C41" s="7">
        <v>24.994</v>
      </c>
      <c r="D41" s="7">
        <v>134.315</v>
      </c>
      <c r="E41" s="7">
        <v>86.27000000000001</v>
      </c>
      <c r="F41" s="7">
        <v>0</v>
      </c>
      <c r="G41" s="7">
        <v>86.27000000000001</v>
      </c>
      <c r="H41" s="8"/>
      <c r="I41" s="8"/>
      <c r="J41" s="9"/>
    </row>
    <row r="42" spans="1:10" x14ac:dyDescent="0.3">
      <c r="A42" s="10" t="s">
        <v>35</v>
      </c>
      <c r="B42" s="3">
        <v>4202.7820000000002</v>
      </c>
      <c r="C42" s="3">
        <v>1460.7470000000001</v>
      </c>
      <c r="D42" s="3">
        <v>5663.5290000000005</v>
      </c>
      <c r="E42" s="3">
        <v>5441.0199999999995</v>
      </c>
      <c r="F42" s="3">
        <v>2283.348</v>
      </c>
      <c r="G42" s="3">
        <v>7724.3679999999995</v>
      </c>
      <c r="H42" s="4"/>
      <c r="I42" s="4"/>
      <c r="J42" s="5"/>
    </row>
    <row r="43" spans="1:10" x14ac:dyDescent="0.3">
      <c r="A43" s="6" t="s">
        <v>36</v>
      </c>
      <c r="B43" s="7">
        <v>4425.7700000000004</v>
      </c>
      <c r="C43" s="7">
        <v>117.85400000000001</v>
      </c>
      <c r="D43" s="7">
        <v>4543.6240000000007</v>
      </c>
      <c r="E43" s="7">
        <v>5588.0029999999997</v>
      </c>
      <c r="F43" s="7">
        <v>380.24099999999999</v>
      </c>
      <c r="G43" s="7">
        <v>5968.2439999999997</v>
      </c>
      <c r="H43" s="8"/>
      <c r="I43" s="8"/>
      <c r="J43" s="9"/>
    </row>
    <row r="44" spans="1:10" x14ac:dyDescent="0.3">
      <c r="A44" s="10" t="s">
        <v>37</v>
      </c>
      <c r="B44" s="3">
        <v>4111.5410000000002</v>
      </c>
      <c r="C44" s="3">
        <v>11.061999999999999</v>
      </c>
      <c r="D44" s="3">
        <v>4122.6030000000001</v>
      </c>
      <c r="E44" s="3">
        <v>5310.6189999999997</v>
      </c>
      <c r="F44" s="3">
        <v>0</v>
      </c>
      <c r="G44" s="3">
        <v>5310.6189999999997</v>
      </c>
      <c r="H44" s="4"/>
      <c r="I44" s="4"/>
      <c r="J44" s="5"/>
    </row>
    <row r="45" spans="1:10" x14ac:dyDescent="0.3">
      <c r="A45" s="6" t="s">
        <v>60</v>
      </c>
      <c r="B45" s="7">
        <v>2860.1030000000005</v>
      </c>
      <c r="C45" s="7">
        <v>29.620999999999999</v>
      </c>
      <c r="D45" s="7">
        <v>2889.7240000000006</v>
      </c>
      <c r="E45" s="7">
        <v>3402.9989999999998</v>
      </c>
      <c r="F45" s="7">
        <v>0</v>
      </c>
      <c r="G45" s="7">
        <v>3402.9989999999998</v>
      </c>
      <c r="H45" s="8"/>
      <c r="I45" s="8"/>
      <c r="J45" s="9"/>
    </row>
    <row r="46" spans="1:10" x14ac:dyDescent="0.3">
      <c r="A46" s="10" t="s">
        <v>38</v>
      </c>
      <c r="B46" s="3">
        <v>1274.0349999999999</v>
      </c>
      <c r="C46" s="3">
        <v>33.956000000000003</v>
      </c>
      <c r="D46" s="3">
        <v>1307.9909999999998</v>
      </c>
      <c r="E46" s="3">
        <v>2580.1470000000004</v>
      </c>
      <c r="F46" s="3">
        <v>168.393</v>
      </c>
      <c r="G46" s="3">
        <v>2748.5400000000004</v>
      </c>
      <c r="H46" s="4"/>
      <c r="I46" s="4"/>
      <c r="J46" s="5"/>
    </row>
    <row r="47" spans="1:10" x14ac:dyDescent="0.3">
      <c r="A47" s="6" t="s">
        <v>39</v>
      </c>
      <c r="B47" s="7">
        <v>4978.5320000000002</v>
      </c>
      <c r="C47" s="7">
        <v>229.88799999999998</v>
      </c>
      <c r="D47" s="7">
        <v>5208.42</v>
      </c>
      <c r="E47" s="7">
        <v>6363.7190000000001</v>
      </c>
      <c r="F47" s="7">
        <v>47.308999999999997</v>
      </c>
      <c r="G47" s="7">
        <v>6411.0280000000002</v>
      </c>
      <c r="H47" s="8"/>
      <c r="I47" s="8"/>
      <c r="J47" s="9"/>
    </row>
    <row r="48" spans="1:10" x14ac:dyDescent="0.3">
      <c r="A48" s="10" t="s">
        <v>40</v>
      </c>
      <c r="B48" s="3">
        <v>7504.7920000000004</v>
      </c>
      <c r="C48" s="3">
        <v>1971.3709999999999</v>
      </c>
      <c r="D48" s="3">
        <v>9476.1630000000005</v>
      </c>
      <c r="E48" s="3">
        <v>8806.5380000000005</v>
      </c>
      <c r="F48" s="3">
        <v>3469.1479999999997</v>
      </c>
      <c r="G48" s="3">
        <v>12275.686</v>
      </c>
      <c r="H48" s="4"/>
      <c r="I48" s="4"/>
      <c r="J48" s="5"/>
    </row>
    <row r="49" spans="1:10" x14ac:dyDescent="0.3">
      <c r="A49" s="6" t="s">
        <v>41</v>
      </c>
      <c r="B49" s="7">
        <v>365.71500000000003</v>
      </c>
      <c r="C49" s="7">
        <v>0</v>
      </c>
      <c r="D49" s="7">
        <v>365.71500000000003</v>
      </c>
      <c r="E49" s="7">
        <v>441.42</v>
      </c>
      <c r="F49" s="7">
        <v>0</v>
      </c>
      <c r="G49" s="7">
        <v>441.42</v>
      </c>
      <c r="H49" s="8"/>
      <c r="I49" s="8"/>
      <c r="J49" s="9"/>
    </row>
    <row r="50" spans="1:10" x14ac:dyDescent="0.3">
      <c r="A50" s="10" t="s">
        <v>42</v>
      </c>
      <c r="B50" s="3">
        <v>720.31600000000003</v>
      </c>
      <c r="C50" s="3">
        <v>0</v>
      </c>
      <c r="D50" s="3">
        <v>720.31600000000003</v>
      </c>
      <c r="E50" s="3">
        <v>736.95400000000006</v>
      </c>
      <c r="F50" s="3">
        <v>0</v>
      </c>
      <c r="G50" s="3">
        <v>736.95400000000006</v>
      </c>
      <c r="H50" s="4"/>
      <c r="I50" s="4"/>
      <c r="J50" s="5"/>
    </row>
    <row r="51" spans="1:10" x14ac:dyDescent="0.3">
      <c r="A51" s="6" t="s">
        <v>43</v>
      </c>
      <c r="B51" s="7">
        <v>2914.712</v>
      </c>
      <c r="C51" s="7">
        <v>102.105</v>
      </c>
      <c r="D51" s="7">
        <v>3016.817</v>
      </c>
      <c r="E51" s="7">
        <v>3899.299</v>
      </c>
      <c r="F51" s="7">
        <v>57.147000000000013</v>
      </c>
      <c r="G51" s="7">
        <v>3956.4459999999999</v>
      </c>
      <c r="H51" s="8"/>
      <c r="I51" s="8"/>
      <c r="J51" s="9"/>
    </row>
    <row r="52" spans="1:10" x14ac:dyDescent="0.3">
      <c r="A52" s="10" t="s">
        <v>62</v>
      </c>
      <c r="B52" s="3">
        <v>3643.82</v>
      </c>
      <c r="C52" s="3">
        <v>161.43799999999999</v>
      </c>
      <c r="D52" s="3">
        <v>3805.2580000000003</v>
      </c>
      <c r="E52" s="3">
        <v>4503.8709999999992</v>
      </c>
      <c r="F52" s="3">
        <v>5.5270000000000001</v>
      </c>
      <c r="G52" s="3">
        <v>4509.3979999999992</v>
      </c>
      <c r="H52" s="4"/>
      <c r="I52" s="4"/>
      <c r="J52" s="5"/>
    </row>
    <row r="53" spans="1:10" x14ac:dyDescent="0.3">
      <c r="A53" s="6" t="s">
        <v>44</v>
      </c>
      <c r="B53" s="7">
        <v>2692.1129999999998</v>
      </c>
      <c r="C53" s="7">
        <v>1.288</v>
      </c>
      <c r="D53" s="7">
        <v>2693.4009999999998</v>
      </c>
      <c r="E53" s="7">
        <v>3208.6010000000001</v>
      </c>
      <c r="F53" s="7">
        <v>0</v>
      </c>
      <c r="G53" s="7">
        <v>3208.6010000000001</v>
      </c>
      <c r="H53" s="8"/>
      <c r="I53" s="8"/>
      <c r="J53" s="9"/>
    </row>
    <row r="54" spans="1:10" x14ac:dyDescent="0.3">
      <c r="A54" s="10" t="s">
        <v>61</v>
      </c>
      <c r="B54" s="3">
        <v>155.27500000000001</v>
      </c>
      <c r="C54" s="3">
        <v>4133.496000000001</v>
      </c>
      <c r="D54" s="3">
        <v>4288.7710000000006</v>
      </c>
      <c r="E54" s="3">
        <v>43.418999999999997</v>
      </c>
      <c r="F54" s="3">
        <v>2541.886</v>
      </c>
      <c r="G54" s="3">
        <v>2585.3049999999998</v>
      </c>
      <c r="H54" s="4"/>
      <c r="I54" s="4"/>
      <c r="J54" s="5"/>
    </row>
    <row r="55" spans="1:10" x14ac:dyDescent="0.3">
      <c r="A55" s="6" t="s">
        <v>45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8"/>
      <c r="I55" s="8"/>
      <c r="J55" s="9"/>
    </row>
    <row r="56" spans="1:10" x14ac:dyDescent="0.3">
      <c r="A56" s="10" t="s">
        <v>46</v>
      </c>
      <c r="B56" s="3">
        <v>50.701000000000008</v>
      </c>
      <c r="C56" s="3">
        <v>12.59</v>
      </c>
      <c r="D56" s="3">
        <v>63.291000000000011</v>
      </c>
      <c r="E56" s="3">
        <v>0.08</v>
      </c>
      <c r="F56" s="3"/>
      <c r="G56" s="3">
        <v>0.08</v>
      </c>
      <c r="H56" s="4"/>
      <c r="I56" s="4"/>
      <c r="J56" s="5"/>
    </row>
    <row r="57" spans="1:10" x14ac:dyDescent="0.3">
      <c r="A57" s="6" t="s">
        <v>47</v>
      </c>
      <c r="B57" s="7">
        <v>9964.86</v>
      </c>
      <c r="C57" s="7">
        <v>30.948</v>
      </c>
      <c r="D57" s="7">
        <v>9995.8080000000009</v>
      </c>
      <c r="E57" s="7">
        <v>11431.991999999998</v>
      </c>
      <c r="F57" s="7">
        <v>0</v>
      </c>
      <c r="G57" s="7">
        <v>11431.991999999998</v>
      </c>
      <c r="H57" s="8"/>
      <c r="I57" s="8"/>
      <c r="J57" s="9"/>
    </row>
    <row r="58" spans="1:10" x14ac:dyDescent="0.3">
      <c r="A58" s="10" t="s">
        <v>52</v>
      </c>
      <c r="B58" s="3">
        <v>81.324999999999989</v>
      </c>
      <c r="C58" s="3">
        <v>156.501</v>
      </c>
      <c r="D58" s="3">
        <v>237.82599999999999</v>
      </c>
      <c r="E58" s="3">
        <v>181.738</v>
      </c>
      <c r="F58" s="3">
        <v>85.186000000000007</v>
      </c>
      <c r="G58" s="3">
        <v>266.92399999999998</v>
      </c>
      <c r="H58" s="4"/>
      <c r="I58" s="4"/>
      <c r="J58" s="5"/>
    </row>
    <row r="59" spans="1:10" x14ac:dyDescent="0.3">
      <c r="A59" s="6" t="s">
        <v>53</v>
      </c>
      <c r="B59" s="7">
        <v>20.472999999999999</v>
      </c>
      <c r="C59" s="7">
        <v>160.404</v>
      </c>
      <c r="D59" s="7">
        <v>180.87700000000001</v>
      </c>
      <c r="E59" s="7">
        <v>93.385000000000005</v>
      </c>
      <c r="F59" s="7">
        <v>1112.3059999999998</v>
      </c>
      <c r="G59" s="7">
        <v>1205.6909999999998</v>
      </c>
      <c r="H59" s="8"/>
      <c r="I59" s="8"/>
      <c r="J59" s="9"/>
    </row>
    <row r="60" spans="1:10" x14ac:dyDescent="0.3">
      <c r="A60" s="48"/>
      <c r="B60" s="48"/>
      <c r="C60" s="48"/>
      <c r="D60" s="48"/>
      <c r="E60" s="48"/>
      <c r="F60" s="48"/>
      <c r="G60" s="48"/>
      <c r="H60" s="48"/>
      <c r="I60" s="48"/>
      <c r="J60" s="48"/>
    </row>
    <row r="61" spans="1:10" x14ac:dyDescent="0.3">
      <c r="A61" s="48"/>
      <c r="B61" s="48"/>
      <c r="C61" s="48"/>
      <c r="D61" s="48"/>
      <c r="E61" s="48"/>
      <c r="F61" s="48"/>
      <c r="G61" s="48"/>
      <c r="H61" s="48"/>
      <c r="I61" s="48"/>
      <c r="J61" s="48"/>
    </row>
    <row r="62" spans="1:10" x14ac:dyDescent="0.3">
      <c r="A62" s="48"/>
      <c r="B62" s="48"/>
      <c r="C62" s="48"/>
      <c r="D62" s="48"/>
      <c r="E62" s="48"/>
      <c r="F62" s="48"/>
      <c r="G62" s="48"/>
      <c r="H62" s="48"/>
      <c r="I62" s="48"/>
      <c r="J62" s="48"/>
    </row>
    <row r="63" spans="1:10" x14ac:dyDescent="0.3">
      <c r="A63" s="48"/>
      <c r="B63" s="48"/>
      <c r="C63" s="48"/>
      <c r="D63" s="48"/>
      <c r="E63" s="48"/>
      <c r="F63" s="48"/>
      <c r="G63" s="48"/>
      <c r="H63" s="48"/>
      <c r="I63" s="48"/>
      <c r="J63" s="48"/>
    </row>
    <row r="64" spans="1:10" x14ac:dyDescent="0.3">
      <c r="A64" s="48"/>
      <c r="B64" s="48"/>
      <c r="C64" s="48"/>
      <c r="D64" s="48"/>
      <c r="E64" s="48"/>
      <c r="F64" s="48"/>
      <c r="G64" s="48"/>
      <c r="H64" s="48"/>
      <c r="I64" s="48"/>
      <c r="J64" s="48"/>
    </row>
    <row r="65" spans="1:10" ht="45.75" customHeight="1" x14ac:dyDescent="0.3">
      <c r="A65" s="48"/>
      <c r="B65" s="48"/>
      <c r="C65" s="48"/>
      <c r="D65" s="48"/>
      <c r="E65" s="48"/>
      <c r="F65" s="48"/>
      <c r="G65" s="48"/>
      <c r="H65" s="48"/>
      <c r="I65" s="48"/>
      <c r="J65" s="48"/>
    </row>
    <row r="66" spans="1:10" x14ac:dyDescent="0.3">
      <c r="A66" s="25"/>
    </row>
    <row r="67" spans="1:10" x14ac:dyDescent="0.3">
      <c r="B67" s="23"/>
      <c r="C67" s="23"/>
      <c r="D67" s="23"/>
      <c r="E67" s="23"/>
      <c r="F67" s="23"/>
      <c r="G67" s="23"/>
    </row>
    <row r="68" spans="1:10" x14ac:dyDescent="0.3">
      <c r="B68" s="23"/>
      <c r="C68" s="23"/>
      <c r="D68" s="23"/>
      <c r="E68" s="23"/>
      <c r="F68" s="23"/>
      <c r="G68" s="23"/>
    </row>
    <row r="69" spans="1:10" x14ac:dyDescent="0.3">
      <c r="B69" s="23"/>
      <c r="C69" s="23"/>
      <c r="D69" s="23"/>
      <c r="E69" s="23"/>
      <c r="F69" s="23"/>
      <c r="G69" s="23"/>
    </row>
  </sheetData>
  <mergeCells count="5">
    <mergeCell ref="A1:J1"/>
    <mergeCell ref="A2:A3"/>
    <mergeCell ref="B2:D2"/>
    <mergeCell ref="E2:G2"/>
    <mergeCell ref="H2:J2"/>
  </mergeCells>
  <conditionalFormatting sqref="B4:J59">
    <cfRule type="cellIs" dxfId="1" priority="1" operator="equal">
      <formula>0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3" orientation="portrait" verticalDpi="597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69"/>
  <sheetViews>
    <sheetView tabSelected="1" zoomScale="55" zoomScaleNormal="55" workbookViewId="0">
      <selection activeCell="P4" sqref="P4"/>
    </sheetView>
  </sheetViews>
  <sheetFormatPr defaultRowHeight="14.4" x14ac:dyDescent="0.3"/>
  <cols>
    <col min="1" max="1" width="36" bestFit="1" customWidth="1"/>
    <col min="2" max="10" width="14.33203125" customWidth="1"/>
  </cols>
  <sheetData>
    <row r="1" spans="1:11" ht="18" customHeight="1" x14ac:dyDescent="0.3">
      <c r="A1" s="59" t="s">
        <v>66</v>
      </c>
      <c r="B1" s="60"/>
      <c r="C1" s="60"/>
      <c r="D1" s="60"/>
      <c r="E1" s="60"/>
      <c r="F1" s="60"/>
      <c r="G1" s="60"/>
      <c r="H1" s="60"/>
      <c r="I1" s="60"/>
      <c r="J1" s="61"/>
    </row>
    <row r="2" spans="1:11" ht="30" customHeight="1" x14ac:dyDescent="0.3">
      <c r="A2" s="62" t="s">
        <v>1</v>
      </c>
      <c r="B2" s="64" t="s">
        <v>67</v>
      </c>
      <c r="C2" s="64"/>
      <c r="D2" s="64"/>
      <c r="E2" s="64" t="s">
        <v>68</v>
      </c>
      <c r="F2" s="64"/>
      <c r="G2" s="64"/>
      <c r="H2" s="65"/>
      <c r="I2" s="65"/>
      <c r="J2" s="66"/>
    </row>
    <row r="3" spans="1:11" x14ac:dyDescent="0.3">
      <c r="A3" s="63"/>
      <c r="B3" s="1" t="s">
        <v>2</v>
      </c>
      <c r="C3" s="1" t="s">
        <v>3</v>
      </c>
      <c r="D3" s="1" t="s">
        <v>4</v>
      </c>
      <c r="E3" s="1" t="s">
        <v>2</v>
      </c>
      <c r="F3" s="1" t="s">
        <v>3</v>
      </c>
      <c r="G3" s="1" t="s">
        <v>4</v>
      </c>
      <c r="H3" s="1"/>
      <c r="I3" s="1"/>
      <c r="J3" s="2"/>
    </row>
    <row r="4" spans="1:11" x14ac:dyDescent="0.3">
      <c r="A4" s="39" t="s">
        <v>5</v>
      </c>
      <c r="B4" s="3">
        <v>1964.63</v>
      </c>
      <c r="C4" s="3">
        <v>795179.49700000056</v>
      </c>
      <c r="D4" s="3">
        <f>SUM(B4:C4)</f>
        <v>797144.12700000056</v>
      </c>
      <c r="E4" s="3">
        <v>4856.3239999999987</v>
      </c>
      <c r="F4" s="3">
        <v>810592.64299999957</v>
      </c>
      <c r="G4" s="3">
        <f>SUM(E4:F4)</f>
        <v>815448.9669999996</v>
      </c>
      <c r="H4" s="4"/>
      <c r="I4" s="4"/>
      <c r="J4" s="4"/>
      <c r="K4" s="22"/>
    </row>
    <row r="5" spans="1:11" x14ac:dyDescent="0.3">
      <c r="A5" s="6" t="s">
        <v>59</v>
      </c>
      <c r="B5" s="7">
        <v>18292.479000000003</v>
      </c>
      <c r="C5" s="7">
        <v>476309.70800000045</v>
      </c>
      <c r="D5" s="7">
        <f>+B5+C5</f>
        <v>494602.18700000044</v>
      </c>
      <c r="E5" s="7">
        <v>43344.705999999991</v>
      </c>
      <c r="F5" s="7">
        <v>739959.15000000037</v>
      </c>
      <c r="G5" s="7">
        <f>+E5+F5</f>
        <v>783303.85600000038</v>
      </c>
      <c r="H5" s="8"/>
      <c r="I5" s="8"/>
      <c r="J5" s="9"/>
    </row>
    <row r="6" spans="1:11" x14ac:dyDescent="0.3">
      <c r="A6" s="10" t="s">
        <v>48</v>
      </c>
      <c r="B6" s="3">
        <v>5584.7390000000005</v>
      </c>
      <c r="C6" s="3">
        <v>34437.715000000011</v>
      </c>
      <c r="D6" s="3">
        <f t="shared" ref="D6:D58" si="0">SUM(B6:C6)</f>
        <v>40022.454000000012</v>
      </c>
      <c r="E6" s="3">
        <v>6721.7480000000014</v>
      </c>
      <c r="F6" s="3">
        <v>41670.496999999981</v>
      </c>
      <c r="G6" s="3">
        <f t="shared" ref="G6:G58" si="1">SUM(E6:F6)</f>
        <v>48392.244999999981</v>
      </c>
      <c r="H6" s="4"/>
      <c r="I6" s="4"/>
      <c r="J6" s="5"/>
    </row>
    <row r="7" spans="1:11" x14ac:dyDescent="0.3">
      <c r="A7" s="6" t="s">
        <v>6</v>
      </c>
      <c r="B7" s="7">
        <v>5599.0830000000005</v>
      </c>
      <c r="C7" s="7">
        <v>5350.1620000000021</v>
      </c>
      <c r="D7" s="7">
        <f t="shared" si="0"/>
        <v>10949.245000000003</v>
      </c>
      <c r="E7" s="7">
        <v>8704.8230000000003</v>
      </c>
      <c r="F7" s="7">
        <v>3698.0149999999967</v>
      </c>
      <c r="G7" s="7">
        <f t="shared" si="1"/>
        <v>12402.837999999996</v>
      </c>
      <c r="H7" s="8"/>
      <c r="I7" s="8"/>
      <c r="J7" s="9"/>
    </row>
    <row r="8" spans="1:11" x14ac:dyDescent="0.3">
      <c r="A8" s="10" t="s">
        <v>7</v>
      </c>
      <c r="B8" s="3">
        <v>10616.056999999999</v>
      </c>
      <c r="C8" s="3">
        <v>3353.0039999999985</v>
      </c>
      <c r="D8" s="3">
        <f t="shared" si="0"/>
        <v>13969.060999999998</v>
      </c>
      <c r="E8" s="3">
        <v>25577.800000000007</v>
      </c>
      <c r="F8" s="3">
        <v>3476.1350000000002</v>
      </c>
      <c r="G8" s="3">
        <f t="shared" si="1"/>
        <v>29053.935000000005</v>
      </c>
      <c r="H8" s="4"/>
      <c r="I8" s="4"/>
      <c r="J8" s="5"/>
    </row>
    <row r="9" spans="1:11" x14ac:dyDescent="0.3">
      <c r="A9" s="6" t="s">
        <v>8</v>
      </c>
      <c r="B9" s="7">
        <v>2179.48</v>
      </c>
      <c r="C9" s="7">
        <v>744.71699999999998</v>
      </c>
      <c r="D9" s="7">
        <f t="shared" si="0"/>
        <v>2924.1970000000001</v>
      </c>
      <c r="E9" s="7">
        <v>4775.5250000000024</v>
      </c>
      <c r="F9" s="7">
        <v>1354.359999999999</v>
      </c>
      <c r="G9" s="7">
        <f t="shared" si="1"/>
        <v>6129.8850000000011</v>
      </c>
      <c r="H9" s="8"/>
      <c r="I9" s="8"/>
      <c r="J9" s="9"/>
    </row>
    <row r="10" spans="1:11" x14ac:dyDescent="0.3">
      <c r="A10" s="10" t="s">
        <v>49</v>
      </c>
      <c r="B10" s="3">
        <v>1.0649999999999999</v>
      </c>
      <c r="C10" s="3">
        <v>0</v>
      </c>
      <c r="D10" s="3">
        <f t="shared" si="0"/>
        <v>1.0649999999999999</v>
      </c>
      <c r="E10" s="3">
        <v>1.3369999999999995</v>
      </c>
      <c r="F10" s="40">
        <v>1.7999999999999999E-2</v>
      </c>
      <c r="G10" s="3">
        <f t="shared" si="1"/>
        <v>1.3549999999999995</v>
      </c>
      <c r="H10" s="4"/>
      <c r="I10" s="4"/>
      <c r="J10" s="5"/>
    </row>
    <row r="11" spans="1:11" x14ac:dyDescent="0.3">
      <c r="A11" s="6" t="s">
        <v>9</v>
      </c>
      <c r="B11" s="7">
        <v>19.66</v>
      </c>
      <c r="C11" s="7">
        <v>10.763</v>
      </c>
      <c r="D11" s="7">
        <f t="shared" si="0"/>
        <v>30.423000000000002</v>
      </c>
      <c r="E11" s="7">
        <v>64.103000000000009</v>
      </c>
      <c r="F11" s="41">
        <v>0.60499999999999998</v>
      </c>
      <c r="G11" s="7">
        <f t="shared" si="1"/>
        <v>64.708000000000013</v>
      </c>
      <c r="H11" s="8"/>
      <c r="I11" s="8"/>
      <c r="J11" s="9"/>
    </row>
    <row r="12" spans="1:11" x14ac:dyDescent="0.3">
      <c r="A12" s="10" t="s">
        <v>10</v>
      </c>
      <c r="B12" s="3">
        <v>41.148000000000003</v>
      </c>
      <c r="C12" s="42">
        <v>0</v>
      </c>
      <c r="D12" s="3">
        <f t="shared" si="0"/>
        <v>41.148000000000003</v>
      </c>
      <c r="E12" s="3">
        <v>141.779</v>
      </c>
      <c r="F12" s="42">
        <v>0.76600000000000001</v>
      </c>
      <c r="G12" s="3">
        <f t="shared" si="1"/>
        <v>142.54499999999999</v>
      </c>
      <c r="H12" s="4"/>
      <c r="I12" s="4"/>
      <c r="J12" s="5"/>
    </row>
    <row r="13" spans="1:11" x14ac:dyDescent="0.3">
      <c r="A13" s="6" t="s">
        <v>11</v>
      </c>
      <c r="B13" s="7">
        <v>2726.3210000000013</v>
      </c>
      <c r="C13" s="7">
        <v>614.58699999999999</v>
      </c>
      <c r="D13" s="7">
        <f t="shared" si="0"/>
        <v>3340.9080000000013</v>
      </c>
      <c r="E13" s="7">
        <v>6146.8449999999984</v>
      </c>
      <c r="F13" s="7">
        <v>3335.0630000000001</v>
      </c>
      <c r="G13" s="7">
        <f>+E13+F13</f>
        <v>9481.9079999999994</v>
      </c>
      <c r="H13" s="8"/>
      <c r="I13" s="8"/>
      <c r="J13" s="9"/>
    </row>
    <row r="14" spans="1:11" x14ac:dyDescent="0.3">
      <c r="A14" s="10" t="s">
        <v>12</v>
      </c>
      <c r="B14" s="3">
        <v>461.78899999999993</v>
      </c>
      <c r="C14" s="3">
        <v>8.1390000000000011</v>
      </c>
      <c r="D14" s="3">
        <f t="shared" si="0"/>
        <v>469.92799999999994</v>
      </c>
      <c r="E14" s="3">
        <v>656.31700000000012</v>
      </c>
      <c r="F14" s="3">
        <v>5.1029999999999998</v>
      </c>
      <c r="G14" s="3">
        <f t="shared" si="1"/>
        <v>661.42000000000007</v>
      </c>
      <c r="H14" s="4"/>
      <c r="I14" s="4"/>
      <c r="J14" s="5"/>
    </row>
    <row r="15" spans="1:11" x14ac:dyDescent="0.3">
      <c r="A15" s="6" t="s">
        <v>13</v>
      </c>
      <c r="B15" s="7">
        <v>128.96299999999999</v>
      </c>
      <c r="C15" s="7">
        <v>0</v>
      </c>
      <c r="D15" s="7">
        <f t="shared" si="0"/>
        <v>128.96299999999999</v>
      </c>
      <c r="E15" s="7">
        <v>184.72000000000003</v>
      </c>
      <c r="F15" s="7">
        <v>0</v>
      </c>
      <c r="G15" s="7">
        <f t="shared" si="1"/>
        <v>184.72000000000003</v>
      </c>
      <c r="H15" s="8"/>
      <c r="I15" s="8"/>
      <c r="J15" s="9"/>
    </row>
    <row r="16" spans="1:11" x14ac:dyDescent="0.3">
      <c r="A16" s="10" t="s">
        <v>14</v>
      </c>
      <c r="B16" s="3">
        <v>595.22800000000007</v>
      </c>
      <c r="C16" s="3">
        <v>368.86400000000003</v>
      </c>
      <c r="D16" s="3">
        <f t="shared" si="0"/>
        <v>964.0920000000001</v>
      </c>
      <c r="E16" s="3">
        <v>1014.306</v>
      </c>
      <c r="F16" s="3">
        <v>0.96799999999999997</v>
      </c>
      <c r="G16" s="3">
        <f t="shared" si="1"/>
        <v>1015.274</v>
      </c>
      <c r="H16" s="4"/>
      <c r="I16" s="4"/>
      <c r="J16" s="5"/>
    </row>
    <row r="17" spans="1:10" x14ac:dyDescent="0.3">
      <c r="A17" s="6" t="s">
        <v>15</v>
      </c>
      <c r="B17" s="7">
        <v>60.16399999999998</v>
      </c>
      <c r="C17" s="7">
        <v>0</v>
      </c>
      <c r="D17" s="7">
        <f t="shared" si="0"/>
        <v>60.16399999999998</v>
      </c>
      <c r="E17" s="7">
        <v>103.88300000000001</v>
      </c>
      <c r="F17" s="7">
        <v>0</v>
      </c>
      <c r="G17" s="7">
        <f t="shared" si="1"/>
        <v>103.88300000000001</v>
      </c>
      <c r="H17" s="8"/>
      <c r="I17" s="8"/>
      <c r="J17" s="9"/>
    </row>
    <row r="18" spans="1:10" x14ac:dyDescent="0.3">
      <c r="A18" s="10" t="s">
        <v>16</v>
      </c>
      <c r="B18" s="3">
        <v>4.4269999999999996</v>
      </c>
      <c r="C18" s="3">
        <v>0</v>
      </c>
      <c r="D18" s="3">
        <f t="shared" si="0"/>
        <v>4.4269999999999996</v>
      </c>
      <c r="E18" s="3">
        <v>8.8520000000000003</v>
      </c>
      <c r="F18" s="3">
        <v>0</v>
      </c>
      <c r="G18" s="3">
        <f t="shared" si="1"/>
        <v>8.8520000000000003</v>
      </c>
      <c r="H18" s="4"/>
      <c r="I18" s="4"/>
      <c r="J18" s="5"/>
    </row>
    <row r="19" spans="1:10" x14ac:dyDescent="0.3">
      <c r="A19" s="6" t="s">
        <v>17</v>
      </c>
      <c r="B19" s="7">
        <v>16.212</v>
      </c>
      <c r="C19" s="43">
        <v>0</v>
      </c>
      <c r="D19" s="7">
        <f t="shared" si="0"/>
        <v>16.212</v>
      </c>
      <c r="E19" s="7">
        <v>33.592999999999996</v>
      </c>
      <c r="F19" s="43">
        <v>0</v>
      </c>
      <c r="G19" s="7">
        <f t="shared" si="1"/>
        <v>33.592999999999996</v>
      </c>
      <c r="H19" s="8"/>
      <c r="I19" s="8"/>
      <c r="J19" s="9"/>
    </row>
    <row r="20" spans="1:10" x14ac:dyDescent="0.3">
      <c r="A20" s="10" t="s">
        <v>50</v>
      </c>
      <c r="B20" s="3">
        <v>0</v>
      </c>
      <c r="C20" s="3">
        <v>0</v>
      </c>
      <c r="D20" s="3"/>
      <c r="E20" s="3"/>
      <c r="F20" s="3"/>
      <c r="G20" s="3"/>
      <c r="H20" s="4"/>
      <c r="I20" s="4"/>
      <c r="J20" s="5"/>
    </row>
    <row r="21" spans="1:10" x14ac:dyDescent="0.3">
      <c r="A21" s="6" t="s">
        <v>18</v>
      </c>
      <c r="B21" s="44">
        <v>1.7000000000000001E-2</v>
      </c>
      <c r="C21" s="7">
        <v>0</v>
      </c>
      <c r="D21" s="44">
        <f t="shared" si="0"/>
        <v>1.7000000000000001E-2</v>
      </c>
      <c r="E21" s="7">
        <v>1.1579999999999999</v>
      </c>
      <c r="F21" s="7">
        <v>0</v>
      </c>
      <c r="G21" s="44">
        <f t="shared" si="1"/>
        <v>1.1579999999999999</v>
      </c>
      <c r="H21" s="8"/>
      <c r="I21" s="8"/>
      <c r="J21" s="9"/>
    </row>
    <row r="22" spans="1:10" x14ac:dyDescent="0.3">
      <c r="A22" s="10" t="s">
        <v>19</v>
      </c>
      <c r="B22" s="3">
        <v>0</v>
      </c>
      <c r="C22" s="3">
        <v>0</v>
      </c>
      <c r="D22" s="3"/>
      <c r="E22" s="3">
        <v>0</v>
      </c>
      <c r="F22" s="3">
        <v>0</v>
      </c>
      <c r="G22" s="3"/>
      <c r="H22" s="4"/>
      <c r="I22" s="4"/>
      <c r="J22" s="5"/>
    </row>
    <row r="23" spans="1:10" x14ac:dyDescent="0.3">
      <c r="A23" s="6" t="s">
        <v>20</v>
      </c>
      <c r="B23" s="7">
        <v>248.44500000000002</v>
      </c>
      <c r="C23" s="7">
        <v>0</v>
      </c>
      <c r="D23" s="7">
        <f t="shared" si="0"/>
        <v>248.44500000000002</v>
      </c>
      <c r="E23" s="7">
        <v>479.3769999999999</v>
      </c>
      <c r="F23" s="7">
        <v>0</v>
      </c>
      <c r="G23" s="7">
        <f t="shared" si="1"/>
        <v>479.3769999999999</v>
      </c>
      <c r="H23" s="8"/>
      <c r="I23" s="8"/>
      <c r="J23" s="9"/>
    </row>
    <row r="24" spans="1:10" x14ac:dyDescent="0.3">
      <c r="A24" s="10" t="s">
        <v>21</v>
      </c>
      <c r="B24" s="3">
        <v>8.2320000000000029</v>
      </c>
      <c r="C24" s="45">
        <v>0</v>
      </c>
      <c r="D24" s="3">
        <f t="shared" si="0"/>
        <v>8.2320000000000029</v>
      </c>
      <c r="E24" s="3">
        <v>9.2039999999999971</v>
      </c>
      <c r="F24" s="45">
        <v>0</v>
      </c>
      <c r="G24" s="3">
        <f t="shared" si="1"/>
        <v>9.2039999999999971</v>
      </c>
      <c r="H24" s="4"/>
      <c r="I24" s="4"/>
      <c r="J24" s="5"/>
    </row>
    <row r="25" spans="1:10" x14ac:dyDescent="0.3">
      <c r="A25" s="6" t="s">
        <v>22</v>
      </c>
      <c r="B25" s="41">
        <v>0.41499999999999998</v>
      </c>
      <c r="C25" s="41">
        <v>0</v>
      </c>
      <c r="D25" s="41">
        <f t="shared" si="0"/>
        <v>0.41499999999999998</v>
      </c>
      <c r="E25" s="7">
        <v>1.208</v>
      </c>
      <c r="F25" s="7">
        <v>0</v>
      </c>
      <c r="G25" s="7">
        <f t="shared" si="1"/>
        <v>1.208</v>
      </c>
      <c r="H25" s="8"/>
      <c r="I25" s="8"/>
      <c r="J25" s="9"/>
    </row>
    <row r="26" spans="1:10" x14ac:dyDescent="0.3">
      <c r="A26" s="10" t="s">
        <v>23</v>
      </c>
      <c r="B26" s="3">
        <v>0.93799999999999994</v>
      </c>
      <c r="C26" s="3">
        <v>0</v>
      </c>
      <c r="D26" s="3">
        <f t="shared" si="0"/>
        <v>0.93799999999999994</v>
      </c>
      <c r="E26" s="3">
        <v>2.0329999999999995</v>
      </c>
      <c r="F26" s="3">
        <v>0</v>
      </c>
      <c r="G26" s="3">
        <f t="shared" si="1"/>
        <v>2.0329999999999995</v>
      </c>
      <c r="H26" s="4"/>
      <c r="I26" s="4"/>
      <c r="J26" s="5"/>
    </row>
    <row r="27" spans="1:10" x14ac:dyDescent="0.3">
      <c r="A27" s="6" t="s">
        <v>24</v>
      </c>
      <c r="B27" s="7">
        <v>0</v>
      </c>
      <c r="C27" s="7">
        <v>0</v>
      </c>
      <c r="D27" s="7"/>
      <c r="E27" s="7">
        <v>0</v>
      </c>
      <c r="F27" s="7">
        <v>0</v>
      </c>
      <c r="G27" s="7"/>
      <c r="H27" s="8"/>
      <c r="I27" s="8"/>
      <c r="J27" s="9"/>
    </row>
    <row r="28" spans="1:10" x14ac:dyDescent="0.3">
      <c r="A28" s="10" t="s">
        <v>25</v>
      </c>
      <c r="B28" s="3">
        <v>287.74899999999997</v>
      </c>
      <c r="C28" s="40">
        <v>0</v>
      </c>
      <c r="D28" s="3">
        <f t="shared" si="0"/>
        <v>287.74899999999997</v>
      </c>
      <c r="E28" s="3">
        <v>376.13099999999997</v>
      </c>
      <c r="F28" s="40">
        <v>0</v>
      </c>
      <c r="G28" s="3">
        <f t="shared" si="1"/>
        <v>376.13099999999997</v>
      </c>
      <c r="H28" s="4"/>
      <c r="I28" s="4"/>
      <c r="J28" s="5"/>
    </row>
    <row r="29" spans="1:10" x14ac:dyDescent="0.3">
      <c r="A29" s="6" t="s">
        <v>26</v>
      </c>
      <c r="B29" s="7">
        <v>347.82699999999988</v>
      </c>
      <c r="C29" s="7">
        <v>20.186</v>
      </c>
      <c r="D29" s="7">
        <f t="shared" si="0"/>
        <v>368.01299999999986</v>
      </c>
      <c r="E29" s="7">
        <v>520.98599999999999</v>
      </c>
      <c r="F29" s="41">
        <v>0.93700000000000006</v>
      </c>
      <c r="G29" s="7">
        <f t="shared" si="1"/>
        <v>521.923</v>
      </c>
      <c r="H29" s="8"/>
      <c r="I29" s="8"/>
      <c r="J29" s="9"/>
    </row>
    <row r="30" spans="1:10" x14ac:dyDescent="0.3">
      <c r="A30" s="10" t="s">
        <v>27</v>
      </c>
      <c r="B30" s="3">
        <v>99.508999999999972</v>
      </c>
      <c r="C30" s="42">
        <v>0.52800000000000002</v>
      </c>
      <c r="D30" s="3">
        <f t="shared" si="0"/>
        <v>100.03699999999998</v>
      </c>
      <c r="E30" s="3">
        <v>100.68700000000003</v>
      </c>
      <c r="F30" s="42">
        <v>0.1</v>
      </c>
      <c r="G30" s="3">
        <f t="shared" si="1"/>
        <v>100.78700000000002</v>
      </c>
      <c r="H30" s="4"/>
      <c r="I30" s="4"/>
      <c r="J30" s="5"/>
    </row>
    <row r="31" spans="1:10" x14ac:dyDescent="0.3">
      <c r="A31" s="6" t="s">
        <v>63</v>
      </c>
      <c r="B31" s="7">
        <v>29.921000000000003</v>
      </c>
      <c r="C31" s="7">
        <v>0</v>
      </c>
      <c r="D31" s="7">
        <f t="shared" si="0"/>
        <v>29.921000000000003</v>
      </c>
      <c r="E31" s="7">
        <v>40.634999999999991</v>
      </c>
      <c r="F31" s="7">
        <v>0</v>
      </c>
      <c r="G31" s="7">
        <f t="shared" si="1"/>
        <v>40.634999999999991</v>
      </c>
      <c r="H31" s="8"/>
      <c r="I31" s="8"/>
      <c r="J31" s="9"/>
    </row>
    <row r="32" spans="1:10" x14ac:dyDescent="0.3">
      <c r="A32" s="10" t="s">
        <v>51</v>
      </c>
      <c r="B32" s="3">
        <v>0</v>
      </c>
      <c r="C32" s="3">
        <v>3.4439999999999995</v>
      </c>
      <c r="D32" s="3">
        <f t="shared" si="0"/>
        <v>3.4439999999999995</v>
      </c>
      <c r="E32" s="3"/>
      <c r="F32" s="3">
        <v>3.0569999999999999</v>
      </c>
      <c r="G32" s="3">
        <f t="shared" si="1"/>
        <v>3.0569999999999999</v>
      </c>
      <c r="H32" s="4"/>
      <c r="I32" s="4"/>
      <c r="J32" s="5"/>
    </row>
    <row r="33" spans="1:10" x14ac:dyDescent="0.3">
      <c r="A33" s="6" t="s">
        <v>58</v>
      </c>
      <c r="B33" s="7">
        <v>0</v>
      </c>
      <c r="C33" s="7">
        <v>0</v>
      </c>
      <c r="D33" s="41">
        <f>+B33+C33</f>
        <v>0</v>
      </c>
      <c r="E33" s="7">
        <v>0</v>
      </c>
      <c r="F33" s="7">
        <v>0</v>
      </c>
      <c r="G33" s="7"/>
      <c r="H33" s="8"/>
      <c r="I33" s="8"/>
      <c r="J33" s="9"/>
    </row>
    <row r="34" spans="1:10" x14ac:dyDescent="0.3">
      <c r="A34" s="10" t="s">
        <v>28</v>
      </c>
      <c r="B34" s="3">
        <v>23.444999999999997</v>
      </c>
      <c r="C34" s="42">
        <v>0.12</v>
      </c>
      <c r="D34" s="3">
        <f t="shared" si="0"/>
        <v>23.564999999999998</v>
      </c>
      <c r="E34" s="3">
        <v>79.992999999999995</v>
      </c>
      <c r="F34" s="42">
        <v>0.12</v>
      </c>
      <c r="G34" s="3">
        <f t="shared" si="1"/>
        <v>80.113</v>
      </c>
      <c r="H34" s="4"/>
      <c r="I34" s="4"/>
      <c r="J34" s="5"/>
    </row>
    <row r="35" spans="1:10" x14ac:dyDescent="0.3">
      <c r="A35" s="6" t="s">
        <v>57</v>
      </c>
      <c r="B35" s="7">
        <v>19.762999999999995</v>
      </c>
      <c r="C35" s="7">
        <v>0</v>
      </c>
      <c r="D35" s="7">
        <f t="shared" si="0"/>
        <v>19.762999999999995</v>
      </c>
      <c r="E35" s="7">
        <v>9.8250000000000011</v>
      </c>
      <c r="F35" s="7">
        <v>0</v>
      </c>
      <c r="G35" s="7">
        <f t="shared" si="1"/>
        <v>9.8250000000000011</v>
      </c>
      <c r="H35" s="8"/>
      <c r="I35" s="8"/>
      <c r="J35" s="9"/>
    </row>
    <row r="36" spans="1:10" x14ac:dyDescent="0.3">
      <c r="A36" s="10" t="s">
        <v>29</v>
      </c>
      <c r="B36" s="3">
        <v>1.8570000000000002</v>
      </c>
      <c r="C36" s="40">
        <v>0</v>
      </c>
      <c r="D36" s="3">
        <f t="shared" si="0"/>
        <v>1.8570000000000002</v>
      </c>
      <c r="E36" s="3">
        <v>1.879</v>
      </c>
      <c r="F36" s="3">
        <v>30.489000000000001</v>
      </c>
      <c r="G36" s="3">
        <f t="shared" si="1"/>
        <v>32.368000000000002</v>
      </c>
      <c r="H36" s="4"/>
      <c r="I36" s="4"/>
      <c r="J36" s="5"/>
    </row>
    <row r="37" spans="1:10" x14ac:dyDescent="0.3">
      <c r="A37" s="6" t="s">
        <v>30</v>
      </c>
      <c r="B37" s="7">
        <v>20.706000000000003</v>
      </c>
      <c r="C37" s="7">
        <v>0</v>
      </c>
      <c r="D37" s="7">
        <f t="shared" si="0"/>
        <v>20.706000000000003</v>
      </c>
      <c r="E37" s="7">
        <v>25.823</v>
      </c>
      <c r="F37" s="7">
        <v>0</v>
      </c>
      <c r="G37" s="7">
        <f t="shared" si="1"/>
        <v>25.823</v>
      </c>
      <c r="H37" s="8"/>
      <c r="I37" s="8"/>
      <c r="J37" s="9"/>
    </row>
    <row r="38" spans="1:10" x14ac:dyDescent="0.3">
      <c r="A38" s="10" t="s">
        <v>31</v>
      </c>
      <c r="B38" s="3">
        <v>7.7680000000000007</v>
      </c>
      <c r="C38" s="3">
        <v>0</v>
      </c>
      <c r="D38" s="3">
        <f t="shared" si="0"/>
        <v>7.7680000000000007</v>
      </c>
      <c r="E38" s="3">
        <v>6.6179999999999994</v>
      </c>
      <c r="F38" s="3">
        <v>0</v>
      </c>
      <c r="G38" s="3">
        <f t="shared" si="1"/>
        <v>6.6179999999999994</v>
      </c>
      <c r="H38" s="4"/>
      <c r="I38" s="4"/>
      <c r="J38" s="5"/>
    </row>
    <row r="39" spans="1:10" x14ac:dyDescent="0.3">
      <c r="A39" s="6" t="s">
        <v>32</v>
      </c>
      <c r="B39" s="7">
        <v>1.575</v>
      </c>
      <c r="C39" s="7">
        <v>0</v>
      </c>
      <c r="D39" s="7">
        <f t="shared" si="0"/>
        <v>1.575</v>
      </c>
      <c r="E39" s="7">
        <v>5.8070000000000004</v>
      </c>
      <c r="F39" s="7">
        <v>0</v>
      </c>
      <c r="G39" s="7">
        <f t="shared" si="1"/>
        <v>5.8070000000000004</v>
      </c>
      <c r="H39" s="8"/>
      <c r="I39" s="8"/>
      <c r="J39" s="9"/>
    </row>
    <row r="40" spans="1:10" x14ac:dyDescent="0.3">
      <c r="A40" s="10" t="s">
        <v>33</v>
      </c>
      <c r="B40" s="3">
        <v>595.44400000000007</v>
      </c>
      <c r="C40" s="3">
        <v>10.685000000000002</v>
      </c>
      <c r="D40" s="3">
        <f t="shared" si="0"/>
        <v>606.12900000000013</v>
      </c>
      <c r="E40" s="3">
        <v>785.63800000000015</v>
      </c>
      <c r="F40" s="3">
        <v>79.350000000000009</v>
      </c>
      <c r="G40" s="3">
        <f t="shared" si="1"/>
        <v>864.98800000000017</v>
      </c>
      <c r="H40" s="4"/>
      <c r="I40" s="4"/>
      <c r="J40" s="5"/>
    </row>
    <row r="41" spans="1:10" x14ac:dyDescent="0.3">
      <c r="A41" s="6" t="s">
        <v>34</v>
      </c>
      <c r="B41" s="41">
        <v>0</v>
      </c>
      <c r="C41" s="7">
        <v>0</v>
      </c>
      <c r="D41" s="7">
        <f>+B41+C41</f>
        <v>0</v>
      </c>
      <c r="E41" s="41">
        <v>0</v>
      </c>
      <c r="F41" s="7">
        <v>0</v>
      </c>
      <c r="G41" s="7">
        <f>+E41+F41</f>
        <v>0</v>
      </c>
      <c r="H41" s="8"/>
      <c r="I41" s="8"/>
      <c r="J41" s="9"/>
    </row>
    <row r="42" spans="1:10" x14ac:dyDescent="0.3">
      <c r="A42" s="10" t="s">
        <v>35</v>
      </c>
      <c r="B42" s="3">
        <v>222.27399999999994</v>
      </c>
      <c r="C42" s="42">
        <v>0.125</v>
      </c>
      <c r="D42" s="3">
        <f t="shared" si="0"/>
        <v>222.39899999999994</v>
      </c>
      <c r="E42" s="3">
        <v>269.09299999999996</v>
      </c>
      <c r="F42" s="42">
        <v>0.25</v>
      </c>
      <c r="G42" s="3">
        <f t="shared" si="1"/>
        <v>269.34299999999996</v>
      </c>
      <c r="H42" s="4"/>
      <c r="I42" s="4"/>
      <c r="J42" s="5"/>
    </row>
    <row r="43" spans="1:10" x14ac:dyDescent="0.3">
      <c r="A43" s="6" t="s">
        <v>36</v>
      </c>
      <c r="B43" s="7">
        <v>70.546000000000006</v>
      </c>
      <c r="C43" s="7">
        <v>0</v>
      </c>
      <c r="D43" s="7">
        <f t="shared" si="0"/>
        <v>70.546000000000006</v>
      </c>
      <c r="E43" s="7">
        <v>196.16499999999996</v>
      </c>
      <c r="F43" s="7">
        <v>0</v>
      </c>
      <c r="G43" s="7">
        <f t="shared" si="1"/>
        <v>196.16499999999996</v>
      </c>
      <c r="H43" s="8"/>
      <c r="I43" s="8"/>
      <c r="J43" s="9"/>
    </row>
    <row r="44" spans="1:10" x14ac:dyDescent="0.3">
      <c r="A44" s="10" t="s">
        <v>37</v>
      </c>
      <c r="B44" s="3">
        <v>68.056000000000026</v>
      </c>
      <c r="C44" s="3">
        <v>0</v>
      </c>
      <c r="D44" s="3">
        <f t="shared" si="0"/>
        <v>68.056000000000026</v>
      </c>
      <c r="E44" s="3">
        <v>101.71800000000002</v>
      </c>
      <c r="F44" s="3">
        <v>0</v>
      </c>
      <c r="G44" s="3">
        <f t="shared" si="1"/>
        <v>101.71800000000002</v>
      </c>
      <c r="H44" s="4"/>
      <c r="I44" s="4"/>
      <c r="J44" s="5"/>
    </row>
    <row r="45" spans="1:10" x14ac:dyDescent="0.3">
      <c r="A45" s="6" t="s">
        <v>69</v>
      </c>
      <c r="B45" s="7">
        <v>37.650000000000013</v>
      </c>
      <c r="C45" s="7">
        <v>0</v>
      </c>
      <c r="D45" s="7">
        <f t="shared" si="0"/>
        <v>37.650000000000013</v>
      </c>
      <c r="E45" s="7">
        <v>45.512999999999984</v>
      </c>
      <c r="F45" s="7">
        <v>0</v>
      </c>
      <c r="G45" s="7">
        <f t="shared" si="1"/>
        <v>45.512999999999984</v>
      </c>
      <c r="H45" s="8"/>
      <c r="I45" s="8"/>
      <c r="J45" s="9"/>
    </row>
    <row r="46" spans="1:10" x14ac:dyDescent="0.3">
      <c r="A46" s="10" t="s">
        <v>38</v>
      </c>
      <c r="B46" s="3">
        <v>10.856</v>
      </c>
      <c r="C46" s="3">
        <v>0.69299999999999995</v>
      </c>
      <c r="D46" s="3">
        <f t="shared" si="0"/>
        <v>11.548999999999999</v>
      </c>
      <c r="E46" s="3">
        <v>17.289999999999996</v>
      </c>
      <c r="F46" s="3">
        <v>0</v>
      </c>
      <c r="G46" s="3">
        <f t="shared" si="1"/>
        <v>17.289999999999996</v>
      </c>
      <c r="H46" s="4"/>
      <c r="I46" s="4"/>
      <c r="J46" s="5"/>
    </row>
    <row r="47" spans="1:10" x14ac:dyDescent="0.3">
      <c r="A47" s="6" t="s">
        <v>39</v>
      </c>
      <c r="B47" s="7">
        <v>72.070999999999984</v>
      </c>
      <c r="C47" s="41">
        <v>0</v>
      </c>
      <c r="D47" s="7">
        <f t="shared" si="0"/>
        <v>72.070999999999984</v>
      </c>
      <c r="E47" s="7">
        <v>45.585000000000001</v>
      </c>
      <c r="F47" s="41">
        <v>0.12</v>
      </c>
      <c r="G47" s="7">
        <f t="shared" si="1"/>
        <v>45.704999999999998</v>
      </c>
      <c r="H47" s="8"/>
      <c r="I47" s="8"/>
      <c r="J47" s="9"/>
    </row>
    <row r="48" spans="1:10" x14ac:dyDescent="0.3">
      <c r="A48" s="10" t="s">
        <v>40</v>
      </c>
      <c r="B48" s="3">
        <v>274.11199999999997</v>
      </c>
      <c r="C48" s="3">
        <v>4.1569999999999991</v>
      </c>
      <c r="D48" s="3">
        <f t="shared" si="0"/>
        <v>278.26899999999995</v>
      </c>
      <c r="E48" s="3">
        <v>320.8309999999999</v>
      </c>
      <c r="F48" s="3">
        <v>6.1979999999999995</v>
      </c>
      <c r="G48" s="3">
        <f t="shared" si="1"/>
        <v>327.02899999999988</v>
      </c>
      <c r="H48" s="4"/>
      <c r="I48" s="4"/>
      <c r="J48" s="5"/>
    </row>
    <row r="49" spans="1:10" x14ac:dyDescent="0.3">
      <c r="A49" s="6" t="s">
        <v>41</v>
      </c>
      <c r="B49" s="7">
        <v>5.306</v>
      </c>
      <c r="C49" s="7">
        <v>0</v>
      </c>
      <c r="D49" s="7">
        <f>+B49+C49</f>
        <v>5.306</v>
      </c>
      <c r="E49" s="7">
        <v>3.1280000000000001</v>
      </c>
      <c r="F49" s="7">
        <v>0</v>
      </c>
      <c r="G49" s="7">
        <f>+E49+F49</f>
        <v>3.1280000000000001</v>
      </c>
      <c r="H49" s="8"/>
      <c r="I49" s="8"/>
      <c r="J49" s="9"/>
    </row>
    <row r="50" spans="1:10" x14ac:dyDescent="0.3">
      <c r="A50" s="10" t="s">
        <v>42</v>
      </c>
      <c r="B50" s="3">
        <v>5.7450000000000001</v>
      </c>
      <c r="C50" s="3">
        <v>0</v>
      </c>
      <c r="D50" s="3">
        <f t="shared" si="0"/>
        <v>5.7450000000000001</v>
      </c>
      <c r="E50" s="3">
        <v>4.4530000000000003</v>
      </c>
      <c r="F50" s="3">
        <v>0</v>
      </c>
      <c r="G50" s="3">
        <f t="shared" si="1"/>
        <v>4.4530000000000003</v>
      </c>
      <c r="H50" s="4"/>
      <c r="I50" s="4"/>
      <c r="J50" s="5"/>
    </row>
    <row r="51" spans="1:10" x14ac:dyDescent="0.3">
      <c r="A51" s="6" t="s">
        <v>43</v>
      </c>
      <c r="B51" s="7">
        <v>14.638999999999999</v>
      </c>
      <c r="C51" s="7">
        <v>7.2359999999999998</v>
      </c>
      <c r="D51" s="7">
        <f t="shared" si="0"/>
        <v>21.875</v>
      </c>
      <c r="E51" s="7">
        <v>41.724999999999994</v>
      </c>
      <c r="F51" s="41">
        <v>0.18</v>
      </c>
      <c r="G51" s="7">
        <f t="shared" si="1"/>
        <v>41.904999999999994</v>
      </c>
      <c r="H51" s="8"/>
      <c r="I51" s="8"/>
      <c r="J51" s="9"/>
    </row>
    <row r="52" spans="1:10" x14ac:dyDescent="0.3">
      <c r="A52" s="10" t="s">
        <v>62</v>
      </c>
      <c r="B52" s="3">
        <v>54.804000000000009</v>
      </c>
      <c r="C52" s="3">
        <v>0</v>
      </c>
      <c r="D52" s="3">
        <f t="shared" si="0"/>
        <v>54.804000000000009</v>
      </c>
      <c r="E52" s="3">
        <v>127.05100000000002</v>
      </c>
      <c r="F52" s="3">
        <v>0</v>
      </c>
      <c r="G52" s="3">
        <f t="shared" si="1"/>
        <v>127.05100000000002</v>
      </c>
      <c r="H52" s="4"/>
      <c r="I52" s="4"/>
      <c r="J52" s="5"/>
    </row>
    <row r="53" spans="1:10" x14ac:dyDescent="0.3">
      <c r="A53" s="6" t="s">
        <v>44</v>
      </c>
      <c r="B53" s="7">
        <v>3.6990000000000007</v>
      </c>
      <c r="C53" s="7">
        <v>0</v>
      </c>
      <c r="D53" s="7">
        <f t="shared" si="0"/>
        <v>3.6990000000000007</v>
      </c>
      <c r="E53" s="7">
        <v>12.307000000000002</v>
      </c>
      <c r="F53" s="7">
        <v>0</v>
      </c>
      <c r="G53" s="7">
        <f t="shared" si="1"/>
        <v>12.307000000000002</v>
      </c>
      <c r="H53" s="8"/>
      <c r="I53" s="8"/>
      <c r="J53" s="9"/>
    </row>
    <row r="54" spans="1:10" x14ac:dyDescent="0.3">
      <c r="A54" s="10" t="s">
        <v>61</v>
      </c>
      <c r="B54" s="40">
        <v>0</v>
      </c>
      <c r="C54" s="3">
        <v>1109.01</v>
      </c>
      <c r="D54" s="3">
        <f t="shared" si="0"/>
        <v>1109.01</v>
      </c>
      <c r="E54" s="40"/>
      <c r="F54" s="3">
        <v>619.26899999999989</v>
      </c>
      <c r="G54" s="3">
        <f t="shared" si="1"/>
        <v>619.26899999999989</v>
      </c>
      <c r="H54" s="4"/>
      <c r="I54" s="4"/>
      <c r="J54" s="5"/>
    </row>
    <row r="55" spans="1:10" x14ac:dyDescent="0.3">
      <c r="A55" s="6" t="s">
        <v>45</v>
      </c>
      <c r="B55" s="7">
        <v>0</v>
      </c>
      <c r="C55" s="7">
        <v>0</v>
      </c>
      <c r="D55" s="7">
        <f t="shared" si="0"/>
        <v>0</v>
      </c>
      <c r="E55" s="7">
        <v>0</v>
      </c>
      <c r="F55" s="7">
        <v>0</v>
      </c>
      <c r="G55" s="7"/>
      <c r="H55" s="8"/>
      <c r="I55" s="8"/>
      <c r="J55" s="9"/>
    </row>
    <row r="56" spans="1:10" x14ac:dyDescent="0.3">
      <c r="A56" s="10" t="s">
        <v>46</v>
      </c>
      <c r="B56" s="42">
        <v>0</v>
      </c>
      <c r="C56" s="3">
        <v>0</v>
      </c>
      <c r="D56" s="42">
        <f t="shared" si="0"/>
        <v>0</v>
      </c>
      <c r="E56" s="42">
        <v>0</v>
      </c>
      <c r="F56" s="3">
        <v>0</v>
      </c>
      <c r="G56" s="42">
        <f>+E56+F56</f>
        <v>0</v>
      </c>
      <c r="H56" s="4"/>
      <c r="I56" s="4"/>
      <c r="J56" s="5"/>
    </row>
    <row r="57" spans="1:10" x14ac:dyDescent="0.3">
      <c r="A57" s="6" t="s">
        <v>47</v>
      </c>
      <c r="B57" s="7">
        <v>218.34100000000004</v>
      </c>
      <c r="C57" s="7">
        <v>0</v>
      </c>
      <c r="D57" s="7">
        <f t="shared" si="0"/>
        <v>218.34100000000004</v>
      </c>
      <c r="E57" s="7">
        <v>347.4020000000001</v>
      </c>
      <c r="F57" s="7">
        <v>0</v>
      </c>
      <c r="G57" s="7">
        <f t="shared" si="1"/>
        <v>347.4020000000001</v>
      </c>
      <c r="H57" s="8"/>
      <c r="I57" s="8"/>
      <c r="J57" s="9"/>
    </row>
    <row r="58" spans="1:10" x14ac:dyDescent="0.3">
      <c r="A58" s="10" t="s">
        <v>52</v>
      </c>
      <c r="B58" s="42">
        <v>0.13100000000000001</v>
      </c>
      <c r="C58" s="3">
        <v>0</v>
      </c>
      <c r="D58" s="42">
        <f t="shared" si="0"/>
        <v>0.13100000000000001</v>
      </c>
      <c r="E58" s="3">
        <v>1.1840000000000002</v>
      </c>
      <c r="F58" s="3"/>
      <c r="G58" s="3">
        <f t="shared" si="1"/>
        <v>1.1840000000000002</v>
      </c>
      <c r="H58" s="4"/>
      <c r="I58" s="4"/>
      <c r="J58" s="5"/>
    </row>
    <row r="59" spans="1:10" x14ac:dyDescent="0.3">
      <c r="A59" s="6" t="s">
        <v>53</v>
      </c>
      <c r="B59" s="41">
        <v>0</v>
      </c>
      <c r="C59" s="7">
        <v>0</v>
      </c>
      <c r="D59" s="41">
        <f>+B59+C59</f>
        <v>0</v>
      </c>
      <c r="E59" s="44">
        <v>1.2E-2</v>
      </c>
      <c r="F59" s="44"/>
      <c r="G59" s="44">
        <f>+E59+F59</f>
        <v>1.2E-2</v>
      </c>
      <c r="H59" s="8"/>
      <c r="I59" s="8"/>
      <c r="J59" s="9"/>
    </row>
    <row r="60" spans="1:10" x14ac:dyDescent="0.3">
      <c r="A60" s="49"/>
      <c r="B60" s="50"/>
      <c r="C60" s="50"/>
      <c r="D60" s="50"/>
      <c r="E60" s="50"/>
      <c r="F60" s="50"/>
      <c r="G60" s="50"/>
      <c r="H60" s="51"/>
      <c r="I60" s="51"/>
      <c r="J60" s="51"/>
    </row>
    <row r="61" spans="1:10" x14ac:dyDescent="0.3">
      <c r="A61" s="52"/>
      <c r="B61" s="50"/>
      <c r="C61" s="50"/>
      <c r="D61" s="50"/>
      <c r="E61" s="50"/>
      <c r="F61" s="50"/>
      <c r="G61" s="50"/>
      <c r="H61" s="51"/>
      <c r="I61" s="51"/>
      <c r="J61" s="51"/>
    </row>
    <row r="62" spans="1:10" x14ac:dyDescent="0.3">
      <c r="A62" s="53"/>
      <c r="B62" s="54"/>
      <c r="C62" s="54"/>
      <c r="D62" s="54"/>
      <c r="E62" s="54"/>
      <c r="F62" s="54"/>
      <c r="G62" s="54"/>
      <c r="H62" s="54"/>
      <c r="I62" s="54"/>
      <c r="J62" s="55"/>
    </row>
    <row r="63" spans="1:10" x14ac:dyDescent="0.3">
      <c r="A63" s="53"/>
      <c r="B63" s="54"/>
      <c r="C63" s="54"/>
      <c r="D63" s="54"/>
      <c r="E63" s="54"/>
      <c r="F63" s="54"/>
      <c r="G63" s="54"/>
      <c r="H63" s="54"/>
      <c r="I63" s="54"/>
      <c r="J63" s="55"/>
    </row>
    <row r="64" spans="1:10" ht="15" thickBot="1" x14ac:dyDescent="0.35">
      <c r="A64" s="56"/>
      <c r="B64" s="57"/>
      <c r="C64" s="57"/>
      <c r="D64" s="57"/>
      <c r="E64" s="57"/>
      <c r="F64" s="57"/>
      <c r="G64" s="57"/>
      <c r="H64" s="57"/>
      <c r="I64" s="57"/>
      <c r="J64" s="58"/>
    </row>
    <row r="65" spans="1:10" ht="62.25" customHeight="1" x14ac:dyDescent="0.3">
      <c r="A65" s="47"/>
      <c r="B65" s="47"/>
      <c r="C65" s="47"/>
      <c r="D65" s="47"/>
      <c r="E65" s="47"/>
      <c r="F65" s="47"/>
      <c r="G65" s="47"/>
      <c r="H65" s="47"/>
      <c r="I65" s="47"/>
      <c r="J65" s="47"/>
    </row>
    <row r="66" spans="1:10" x14ac:dyDescent="0.3">
      <c r="E66" s="23"/>
      <c r="F66" s="23"/>
    </row>
    <row r="67" spans="1:10" x14ac:dyDescent="0.3">
      <c r="B67" s="46"/>
      <c r="E67" s="46"/>
      <c r="F67" s="46"/>
      <c r="G67" s="46"/>
    </row>
    <row r="68" spans="1:10" x14ac:dyDescent="0.3">
      <c r="B68" s="46"/>
    </row>
    <row r="69" spans="1:10" x14ac:dyDescent="0.3">
      <c r="B69" s="46"/>
    </row>
  </sheetData>
  <mergeCells count="5">
    <mergeCell ref="A1:J1"/>
    <mergeCell ref="A2:A3"/>
    <mergeCell ref="B2:D2"/>
    <mergeCell ref="E2:G2"/>
    <mergeCell ref="H2:J2"/>
  </mergeCells>
  <conditionalFormatting sqref="B4:J59">
    <cfRule type="cellIs" dxfId="0" priority="1" operator="equal">
      <formula>0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5" orientation="portrait" r:id="rId1"/>
  <ignoredErrors>
    <ignoredError sqref="D5:G59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XMLData TextToDisplay="RightsWATCHMark">7|DHMI-DHMI-COK GIZLI|{00000000-0000-0000-0000-000000000000}</XMLDat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XMLData TextToDisplay="%CLASSIFICATIONDATETIME%">12:12 05/04/2021</XMLData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XMLData TextToDisplay="%DOCUMENTGUID%">{00000000-0000-0000-0000-000000000000}</XMLData>
</file>

<file path=customXml/itemProps1.xml><?xml version="1.0" encoding="utf-8"?>
<ds:datastoreItem xmlns:ds="http://schemas.openxmlformats.org/officeDocument/2006/customXml" ds:itemID="{8041FDCD-2FB4-443B-BC1C-75BBF70392BF}">
  <ds:schemaRefs/>
</ds:datastoreItem>
</file>

<file path=customXml/itemProps2.xml><?xml version="1.0" encoding="utf-8"?>
<ds:datastoreItem xmlns:ds="http://schemas.openxmlformats.org/officeDocument/2006/customXml" ds:itemID="{2BB4EC72-3835-41FD-95A6-30E25B7E9115}">
  <ds:schemaRefs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4F14DE1-E060-412A-A919-BF061DF590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AD5A699F-EC8C-40F6-A57E-D21BD16481C4}">
  <ds:schemaRefs/>
</ds:datastoreItem>
</file>

<file path=customXml/itemProps5.xml><?xml version="1.0" encoding="utf-8"?>
<ds:datastoreItem xmlns:ds="http://schemas.openxmlformats.org/officeDocument/2006/customXml" ds:itemID="{421BD13A-ED02-4744-98DF-2ADD827F2881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A9AA8FE8-108F-47C1-B6E0-FBD9C38E55C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TÜM UÇAK</vt:lpstr>
      <vt:lpstr>YOLCU</vt:lpstr>
      <vt:lpstr>TİCARİ UÇAK</vt:lpstr>
      <vt:lpstr>YÜK </vt:lpstr>
      <vt:lpstr>KARGO</vt:lpstr>
      <vt:lpstr>KARGO!Print_Area</vt:lpstr>
      <vt:lpstr>'TÜM UÇAK'!Print_Area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Sevil KAPLAN</dc:creator>
  <cp:lastModifiedBy>AKIF BORA EREN</cp:lastModifiedBy>
  <cp:lastPrinted>2022-05-12T11:06:34Z</cp:lastPrinted>
  <dcterms:created xsi:type="dcterms:W3CDTF">2017-03-06T11:35:15Z</dcterms:created>
  <dcterms:modified xsi:type="dcterms:W3CDTF">2026-05-20T02:20:25Z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ightsWATCHMark">
    <vt:lpwstr>7|DHMI-DHMI-COK GIZLI|{00000000-0000-0000-0000-000000000000}</vt:lpwstr>
  </property>
</Properties>
</file>